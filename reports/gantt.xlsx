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2026-10-11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/>
      <c r="H6" s="9" t="inlineStr">
        <is>
          <t>Pendiente</t>
        </is>
      </c>
      <c r="I6" s="12" t="n">
        <v>0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/>
      <c r="H7" s="9" t="inlineStr">
        <is>
          <t>Pendiente</t>
        </is>
      </c>
      <c r="I7" s="12" t="n">
        <v>0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/>
      <c r="H8" s="9" t="inlineStr">
        <is>
          <t>Pendiente</t>
        </is>
      </c>
      <c r="I8" s="12" t="n">
        <v>0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/>
      <c r="H9" s="9" t="inlineStr">
        <is>
          <t>Pendiente</t>
        </is>
      </c>
      <c r="I9" s="12" t="n">
        <v>0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/>
      <c r="H11" s="9" t="inlineStr">
        <is>
          <t>Pendiente</t>
        </is>
      </c>
      <c r="I11" s="12" t="n">
        <v>0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46321</v>
      </c>
      <c r="F12" s="11" t="n"/>
      <c r="G12" s="11" t="n"/>
      <c r="H12" s="9" t="inlineStr">
        <is>
          <t>Pendiente</t>
        </is>
      </c>
      <c r="I12" s="12" t="n">
        <v>0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46321</v>
      </c>
      <c r="E13" s="11" t="n">
        <v>46328</v>
      </c>
      <c r="F13" s="11" t="n"/>
      <c r="G13" s="11" t="n"/>
      <c r="H13" s="9" t="inlineStr">
        <is>
          <t>Pendiente</t>
        </is>
      </c>
      <c r="I13" s="12" t="n">
        <v>0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46328</v>
      </c>
      <c r="E14" s="11" t="n">
        <v>46334</v>
      </c>
      <c r="F14" s="11" t="n"/>
      <c r="G14" s="11" t="n"/>
      <c r="H14" s="9" t="inlineStr">
        <is>
          <t>Pendiente</t>
        </is>
      </c>
      <c r="I14" s="12" t="n">
        <v>0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46334</v>
      </c>
      <c r="E15" s="11" t="n">
        <v>46337</v>
      </c>
      <c r="F15" s="11" t="n"/>
      <c r="G15" s="11" t="n"/>
      <c r="H15" s="9" t="inlineStr">
        <is>
          <t>Pendiente</t>
        </is>
      </c>
      <c r="I15" s="12" t="n">
        <v>0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46337</v>
      </c>
      <c r="E16" s="11" t="n">
        <v>46341</v>
      </c>
      <c r="F16" s="11" t="n"/>
      <c r="G16" s="11" t="n"/>
      <c r="H16" s="9" t="inlineStr">
        <is>
          <t>Pendiente</t>
        </is>
      </c>
      <c r="I16" s="12" t="n">
        <v>0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46341</v>
      </c>
      <c r="E17" s="11" t="n">
        <v>46342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</v>
      </c>
      <c r="D18" s="7">
        <f>IF(COUNT(D19:D26)=0,"",MIN(D19:D26))</f>
        <v/>
      </c>
      <c r="E18" s="7">
        <f>IF(COUNT(E19:E26)=0,"",MAX(E19:E26))</f>
        <v/>
      </c>
      <c r="F18" s="7">
        <f>IF(COUNT(F19:F26)=0,"",MIN(F19:F26))</f>
        <v/>
      </c>
      <c r="G18" s="7">
        <f>IF(COUNT(G19:G26)=0,"",MAX(G19:G26))</f>
        <v/>
      </c>
      <c r="H18" s="5">
        <f>IF(I18="","",IF(I18=1,"Completada",IF(I18=0,"Pendiente","En curso")))</f>
        <v/>
      </c>
      <c r="I18" s="8">
        <f>IF(COUNT(I19:I26)=0,"",AVERAGE(I19:I26))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46342</v>
      </c>
      <c r="E19" s="11" t="n">
        <v>46344</v>
      </c>
      <c r="F19" s="11" t="n"/>
      <c r="G19" s="11" t="n"/>
      <c r="H19" s="9" t="inlineStr">
        <is>
          <t>Pendiente</t>
        </is>
      </c>
      <c r="I19" s="12" t="n">
        <v>0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incremental por generación (excluyendo pendientes); lectura de hora E...</t>
        </is>
      </c>
      <c r="C20" s="10" t="n">
        <v>2</v>
      </c>
      <c r="D20" s="11" t="n">
        <v>46344</v>
      </c>
      <c r="E20" s="11" t="n">
        <v>46348</v>
      </c>
      <c r="F20" s="11" t="n"/>
      <c r="G20" s="11" t="n"/>
      <c r="H20" s="9" t="inlineStr">
        <is>
          <t>Pendiente</t>
        </is>
      </c>
      <c r="I20" s="12" t="n">
        <v>0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46348</v>
      </c>
      <c r="E21" s="11" t="n">
        <v>46351</v>
      </c>
      <c r="F21" s="11" t="n"/>
      <c r="G21" s="11" t="n"/>
      <c r="H21" s="9" t="inlineStr">
        <is>
          <t>Pendiente</t>
        </is>
      </c>
      <c r="I21" s="12" t="n">
        <v>0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46351</v>
      </c>
      <c r="E22" s="11" t="n">
        <v>46357</v>
      </c>
      <c r="F22" s="11" t="n"/>
      <c r="G22" s="11" t="n"/>
      <c r="H22" s="9" t="inlineStr">
        <is>
          <t>Pendiente</t>
        </is>
      </c>
      <c r="I22" s="12" t="n">
        <v>0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46357</v>
      </c>
      <c r="E23" s="11" t="n">
        <v>46358</v>
      </c>
      <c r="F23" s="11" t="n"/>
      <c r="G23" s="11" t="n"/>
      <c r="H23" s="9" t="inlineStr">
        <is>
          <t>Pendiente</t>
        </is>
      </c>
      <c r="I23" s="12" t="n">
        <v>0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46358</v>
      </c>
      <c r="E24" s="11" t="n">
        <v>46361</v>
      </c>
      <c r="F24" s="11" t="n"/>
      <c r="G24" s="11" t="n"/>
      <c r="H24" s="9" t="inlineStr">
        <is>
          <t>Pendiente</t>
        </is>
      </c>
      <c r="I24" s="12" t="n">
        <v>0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46361</v>
      </c>
      <c r="E25" s="11" t="n">
        <v>46367</v>
      </c>
      <c r="F25" s="11" t="n"/>
      <c r="G25" s="11" t="n"/>
      <c r="H25" s="9" t="inlineStr">
        <is>
          <t>Pendiente</t>
        </is>
      </c>
      <c r="I25" s="12" t="n">
        <v>0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46367</v>
      </c>
      <c r="E26" s="11" t="n">
        <v>46368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5" t="inlineStr">
        <is>
          <t>F3</t>
        </is>
      </c>
      <c r="B27" s="5" t="inlineStr">
        <is>
          <t>Fase 3 — Exportación, transcripción local y tareas largas</t>
        </is>
      </c>
      <c r="C27" s="6" t="n">
        <v>12</v>
      </c>
      <c r="D27" s="7">
        <f>IF(COUNT(D28:D34)=0,"",MIN(D28:D34))</f>
        <v/>
      </c>
      <c r="E27" s="7">
        <f>IF(COUNT(E28:E34)=0,"",MAX(E28:E34))</f>
        <v/>
      </c>
      <c r="F27" s="7">
        <f>IF(COUNT(F28:F34)=0,"",MIN(F28:F34))</f>
        <v/>
      </c>
      <c r="G27" s="7">
        <f>IF(COUNT(G28:G34)=0,"",MAX(G28:G34))</f>
        <v/>
      </c>
      <c r="H27" s="5">
        <f>IF(I27="","",IF(I27=1,"Completada",IF(I27=0,"Pendiente","En curso")))</f>
        <v/>
      </c>
      <c r="I27" s="8">
        <f>IF(COUNT(I28:I34)=0,"",AVERAGE(I28:I34))</f>
        <v/>
      </c>
      <c r="J27" s="6">
        <f>IF(AND(G27&lt;&gt;"",E27&lt;&gt;""),G27-E27,"")</f>
        <v/>
      </c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9" t="inlineStr">
        <is>
          <t>3.1</t>
        </is>
      </c>
      <c r="B28" s="9" t="inlineStr">
        <is>
          <t>`core/export`: `trip.json` + JSON Schema, GPX 1.1 con extensiones propias y de Garmin validado contra XSD,...</t>
        </is>
      </c>
      <c r="C28" s="10" t="n">
        <v>4</v>
      </c>
      <c r="D28" s="11" t="n">
        <v>46368</v>
      </c>
      <c r="E28" s="11" t="n">
        <v>46377</v>
      </c>
      <c r="F28" s="11" t="n"/>
      <c r="G28" s="11" t="n"/>
      <c r="H28" s="9" t="inlineStr">
        <is>
          <t>Pendiente</t>
        </is>
      </c>
      <c r="I28" s="12" t="n">
        <v>0</v>
      </c>
      <c r="J28" s="10">
        <f>IF(AND(G28&lt;&gt;"",E28&lt;&gt;""),G28-E28,"")</f>
        <v/>
      </c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</row>
    <row r="29">
      <c r="A29" s="9" t="inlineStr">
        <is>
          <t>3.2</t>
        </is>
      </c>
      <c r="B29" s="9" t="inlineStr">
        <is>
          <t>Gestor de tareas largas (servicios `dataSync` / `mediaProcessing` con tiempo límite y reanudación por check...</t>
        </is>
      </c>
      <c r="C29" s="10" t="n">
        <v>2</v>
      </c>
      <c r="D29" s="11" t="n">
        <v>46377</v>
      </c>
      <c r="E29" s="11" t="n">
        <v>46381</v>
      </c>
      <c r="F29" s="11" t="n"/>
      <c r="G29" s="11" t="n"/>
      <c r="H29" s="9" t="inlineStr">
        <is>
          <t>Pendiente</t>
        </is>
      </c>
      <c r="I29" s="12" t="n">
        <v>0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3.3</t>
        </is>
      </c>
      <c r="B30" s="9" t="inlineStr">
        <is>
          <t>Importación de `trip.json` y de GPX externo</t>
        </is>
      </c>
      <c r="C30" s="10" t="n">
        <v>1</v>
      </c>
      <c r="D30" s="11" t="n">
        <v>46381</v>
      </c>
      <c r="E30" s="11" t="n">
        <v>46383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3.4</t>
        </is>
      </c>
      <c r="B31" s="9" t="inlineStr">
        <is>
          <t>whisper.cpp con NDK (alineado a 16 KB), descarga de modelo, VAD obligatorio, confianza por segmento, `Trans...</t>
        </is>
      </c>
      <c r="C31" s="10" t="n">
        <v>3</v>
      </c>
      <c r="D31" s="11" t="n">
        <v>46383</v>
      </c>
      <c r="E31" s="11" t="n">
        <v>46390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3.5</t>
        </is>
      </c>
      <c r="B32" s="9" t="inlineStr">
        <is>
          <t>Respaldo: base excluida del Auto Backup; `trip.json` automático al cerrar cada etapa</t>
        </is>
      </c>
      <c r="C32" s="10" t="n">
        <v>0.5</v>
      </c>
      <c r="D32" s="11" t="n">
        <v>46390</v>
      </c>
      <c r="E32" s="11" t="n">
        <v>46391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3.6</t>
        </is>
      </c>
      <c r="B33" s="9" t="inlineStr">
        <is>
          <t>Nombre de ruta y detección de senderos (Nominatim, Overpass) con política de resiliencia (User-Agent, caché...</t>
        </is>
      </c>
      <c r="C33" s="10" t="n">
        <v>1</v>
      </c>
      <c r="D33" s="11" t="n">
        <v>46391</v>
      </c>
      <c r="E33" s="11" t="n">
        <v>46393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3.7</t>
        </is>
      </c>
      <c r="B34" s="9" t="inlineStr">
        <is>
          <t>**(usuario)** Importar el KML en Google My Maps y abrir el HTML en la PC</t>
        </is>
      </c>
      <c r="C34" s="10" t="n">
        <v>0.5</v>
      </c>
      <c r="D34" s="11" t="n">
        <v>46393</v>
      </c>
      <c r="E34" s="11" t="n">
        <v>46394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5" t="inlineStr">
        <is>
          <t>F4</t>
        </is>
      </c>
      <c r="B35" s="5" t="inlineStr">
        <is>
          <t>Fase 4 — Enriquecimiento, video de escritorio y minivideo</t>
        </is>
      </c>
      <c r="C35" s="6" t="n">
        <v>13</v>
      </c>
      <c r="D35" s="7">
        <f>IF(COUNT(D36:D41)=0,"",MIN(D36:D41))</f>
        <v/>
      </c>
      <c r="E35" s="7">
        <f>IF(COUNT(E36:E41)=0,"",MAX(E36:E41))</f>
        <v/>
      </c>
      <c r="F35" s="7">
        <f>IF(COUNT(F36:F41)=0,"",MIN(F36:F41))</f>
        <v/>
      </c>
      <c r="G35" s="7">
        <f>IF(COUNT(G36:G41)=0,"",MAX(G36:G41))</f>
        <v/>
      </c>
      <c r="H35" s="5">
        <f>IF(I35="","",IF(I35=1,"Completada",IF(I35=0,"Pendiente","En curso")))</f>
        <v/>
      </c>
      <c r="I35" s="8">
        <f>IF(COUNT(I36:I41)=0,"",AVERAGE(I36:I41))</f>
        <v/>
      </c>
      <c r="J35" s="6">
        <f>IF(AND(G35&lt;&gt;"",E35&lt;&gt;""),G35-E35,"")</f>
        <v/>
      </c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</row>
    <row r="36">
      <c r="A36" s="9" t="inlineStr">
        <is>
          <t>4.1</t>
        </is>
      </c>
      <c r="B36" s="9" t="inlineStr">
        <is>
          <t>Clientes Nominatim, Wikipedia (detrás de abstracción por la transición de su API), Wikidata y Overpass; cac...</t>
        </is>
      </c>
      <c r="C36" s="10" t="n">
        <v>2.5</v>
      </c>
      <c r="D36" s="11" t="n">
        <v>46394</v>
      </c>
      <c r="E36" s="11" t="n">
        <v>46400</v>
      </c>
      <c r="F36" s="11" t="n"/>
      <c r="G36" s="11" t="n"/>
      <c r="H36" s="9" t="inlineStr">
        <is>
          <t>Pendiente</t>
        </is>
      </c>
      <c r="I36" s="12" t="n">
        <v>0</v>
      </c>
      <c r="J36" s="10">
        <f>IF(AND(G36&lt;&gt;"",E36&lt;&gt;""),G36-E36,"")</f>
        <v/>
      </c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s="9" t="inlineStr">
        <is>
          <t>4.2</t>
        </is>
      </c>
      <c r="B37" s="9" t="inlineStr">
        <is>
          <t>Pantalla de lugares con aprobación/descarte y atribuciones</t>
        </is>
      </c>
      <c r="C37" s="10" t="n">
        <v>1</v>
      </c>
      <c r="D37" s="11" t="n">
        <v>46400</v>
      </c>
      <c r="E37" s="11" t="n">
        <v>46402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4.3</t>
        </is>
      </c>
      <c r="B38" s="9" t="inlineStr">
        <is>
          <t>Reescritura opcional con modelo de lenguaje (clave del usuario en DataStore cifrado, restringida al texto f...</t>
        </is>
      </c>
      <c r="C38" s="10" t="n">
        <v>0.5</v>
      </c>
      <c r="D38" s="11" t="n">
        <v>46402</v>
      </c>
      <c r="E38" s="11" t="n">
        <v>46403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4.4</t>
        </is>
      </c>
      <c r="B39" s="9" t="inlineStr">
        <is>
          <t>`core/videoplan`: planificador puro con preset "rápido 1 min" y duraciones 1/3/5/10 min, selección por favo...</t>
        </is>
      </c>
      <c r="C39" s="10" t="n">
        <v>1.5</v>
      </c>
      <c r="D39" s="11" t="n">
        <v>46403</v>
      </c>
      <c r="E39" s="11" t="n">
        <v>46406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4.5</t>
        </is>
      </c>
      <c r="B40" s="9" t="inlineStr">
        <is>
          <t>`desktop-renderer` (uv): CLI `plan` y `render`, mapa animado con teselas de MapTiler, Ken Burns, clips, tar...</t>
        </is>
      </c>
      <c r="C40" s="10" t="n">
        <v>5</v>
      </c>
      <c r="D40" s="11" t="n">
        <v>46406</v>
      </c>
      <c r="E40" s="11" t="n">
        <v>46418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4.6</t>
        </is>
      </c>
      <c r="B41" s="9" t="inlineStr">
        <is>
          <t>Minivideo de 1 min en el teléfono: motor Media3 mínimo (título, fotos con Ken Burns, mapa estático por etap...</t>
        </is>
      </c>
      <c r="C41" s="10" t="n">
        <v>2.5</v>
      </c>
      <c r="D41" s="11" t="n">
        <v>46418</v>
      </c>
      <c r="E41" s="11" t="n">
        <v>46424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5" t="inlineStr">
        <is>
          <t>F5</t>
        </is>
      </c>
      <c r="B42" s="5" t="inlineStr">
        <is>
          <t>Fase 5 — Video completo en el dispositivo y extras</t>
        </is>
      </c>
      <c r="C42" s="6" t="n">
        <v>10</v>
      </c>
      <c r="D42" s="7">
        <f>IF(COUNT(D43:D48)=0,"",MIN(D43:D48))</f>
        <v/>
      </c>
      <c r="E42" s="7">
        <f>IF(COUNT(E43:E48)=0,"",MAX(E43:E48))</f>
        <v/>
      </c>
      <c r="F42" s="7">
        <f>IF(COUNT(F43:F48)=0,"",MIN(F43:F48))</f>
        <v/>
      </c>
      <c r="G42" s="7">
        <f>IF(COUNT(G43:G48)=0,"",MAX(G43:G48))</f>
        <v/>
      </c>
      <c r="H42" s="5">
        <f>IF(I42="","",IF(I42=1,"Completada",IF(I42=0,"Pendiente","En curso")))</f>
        <v/>
      </c>
      <c r="I42" s="8">
        <f>IF(COUNT(I43:I48)=0,"",AVERAGE(I43:I48))</f>
        <v/>
      </c>
      <c r="J42" s="6">
        <f>IF(AND(G42&lt;&gt;"",E42&lt;&gt;""),G42-E42,"")</f>
        <v/>
      </c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</row>
    <row r="43">
      <c r="A43" s="9" t="inlineStr">
        <is>
          <t>5.1</t>
        </is>
      </c>
      <c r="B43" s="9" t="inlineStr">
        <is>
          <t>Motor Media3 completo (mapa animado, clips, vista previa del plan editable) bajo el gestor de tareas largas</t>
        </is>
      </c>
      <c r="C43" s="10" t="n">
        <v>4</v>
      </c>
      <c r="D43" s="11" t="n">
        <v>46424</v>
      </c>
      <c r="E43" s="11" t="n">
        <v>46433</v>
      </c>
      <c r="F43" s="11" t="n"/>
      <c r="G43" s="11" t="n"/>
      <c r="H43" s="9" t="inlineStr">
        <is>
          <t>Pendiente</t>
        </is>
      </c>
      <c r="I43" s="12" t="n">
        <v>0</v>
      </c>
      <c r="J43" s="10">
        <f>IF(AND(G43&lt;&gt;"",E43&lt;&gt;""),G43-E43,"")</f>
        <v/>
      </c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</row>
    <row r="44">
      <c r="A44" s="9" t="inlineStr">
        <is>
          <t>5.2</t>
        </is>
      </c>
      <c r="B44" s="9" t="inlineStr">
        <is>
          <t>Cámara integrada (CameraX) con EXIF GPS y nota sobre la foto</t>
        </is>
      </c>
      <c r="C44" s="10" t="n">
        <v>1.5</v>
      </c>
      <c r="D44" s="11" t="n">
        <v>46433</v>
      </c>
      <c r="E44" s="11" t="n">
        <v>46436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5.3</t>
        </is>
      </c>
      <c r="B45" s="9" t="inlineStr">
        <is>
          <t>Widget, mosaico de Configuración rápida y accesos directos</t>
        </is>
      </c>
      <c r="C45" s="10" t="n">
        <v>1.5</v>
      </c>
      <c r="D45" s="11" t="n">
        <v>46436</v>
      </c>
      <c r="E45" s="11" t="n">
        <v>46439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5.4</t>
        </is>
      </c>
      <c r="B46" s="9" t="inlineStr">
        <is>
          <t>Mapas offline con MapLibre (descarga de región)</t>
        </is>
      </c>
      <c r="C46" s="10" t="n">
        <v>1.5</v>
      </c>
      <c r="D46" s="11" t="n">
        <v>46439</v>
      </c>
      <c r="E46" s="11" t="n">
        <v>46442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5.5</t>
        </is>
      </c>
      <c r="B47" s="9" t="inlineStr">
        <is>
          <t>Zonas de privacidad aplicadas al exportar</t>
        </is>
      </c>
      <c r="C47" s="10" t="n">
        <v>1</v>
      </c>
      <c r="D47" s="11" t="n">
        <v>46442</v>
      </c>
      <c r="E47" s="11" t="n">
        <v>46444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5.6</t>
        </is>
      </c>
      <c r="B48" s="9" t="inlineStr">
        <is>
          <t>Google Fotos (Picker e importación / subida a álbum propio). DESEABLE A FUTURO (2026-10-11, usuario): requi...</t>
        </is>
      </c>
      <c r="C48" s="10" t="n">
        <v>0</v>
      </c>
      <c r="D48" s="11" t="n"/>
      <c r="E48" s="11" t="n"/>
      <c r="F48" s="11" t="n"/>
      <c r="G48" s="11" t="n"/>
      <c r="H48" s="9" t="inlineStr">
        <is>
          <t>Deseable a futuro</t>
        </is>
      </c>
      <c r="I48" s="12" t="n"/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5" t="inlineStr">
        <is>
          <t>F6</t>
        </is>
      </c>
      <c r="B49" s="5" t="inlineStr">
        <is>
          <t>Fase 6 — Pulido y publicación</t>
        </is>
      </c>
      <c r="C49" s="6" t="n">
        <v>5</v>
      </c>
      <c r="D49" s="7">
        <f>IF(COUNT(D50:D51)=0,"",MIN(D50:D51))</f>
        <v/>
      </c>
      <c r="E49" s="7">
        <f>IF(COUNT(E50:E51)=0,"",MAX(E50:E51))</f>
        <v/>
      </c>
      <c r="F49" s="7">
        <f>IF(COUNT(F50:F51)=0,"",MIN(F50:F51))</f>
        <v/>
      </c>
      <c r="G49" s="7">
        <f>IF(COUNT(G50:G51)=0,"",MAX(G50:G51))</f>
        <v/>
      </c>
      <c r="H49" s="5" t="inlineStr">
        <is>
          <t>Postpuesto</t>
        </is>
      </c>
      <c r="I49" s="8">
        <f>IF(COUNT(I50:I51)=0,"",AVERAGE(I50:I51))</f>
        <v/>
      </c>
      <c r="J49" s="6">
        <f>IF(AND(G49&lt;&gt;"",E49&lt;&gt;""),G49-E49,"")</f>
        <v/>
      </c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</row>
    <row r="50">
      <c r="A50" s="9" t="inlineStr">
        <is>
          <t>6.1</t>
        </is>
      </c>
      <c r="B50" s="9" t="inlineStr">
        <is>
          <t>Accesibilidad, traducciones, iconografía y onboarding final</t>
        </is>
      </c>
      <c r="C50" s="10" t="n">
        <v>2</v>
      </c>
      <c r="D50" s="11" t="n"/>
      <c r="E50" s="11" t="n"/>
      <c r="F50" s="11" t="n"/>
      <c r="G50" s="11" t="n"/>
      <c r="H50" s="9" t="inlineStr">
        <is>
          <t>Postpuesto</t>
        </is>
      </c>
      <c r="I50" s="12" t="n"/>
      <c r="J50" s="10">
        <f>IF(AND(G50&lt;&gt;"",E50&lt;&gt;""),G50-E50,"")</f>
        <v/>
      </c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</row>
    <row r="51">
      <c r="A51" s="9" t="inlineStr">
        <is>
          <t>6.2</t>
        </is>
      </c>
      <c r="B51" s="9" t="inlineStr">
        <is>
          <t>Declaraciones de Play Console, seguridad de los datos y política de privacidad; migrar el mapa del video a...</t>
        </is>
      </c>
      <c r="C51" s="10" t="n">
        <v>3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n"/>
      <c r="B52" s="9" t="n"/>
      <c r="C52" s="10" t="n"/>
      <c r="D52" s="11" t="n"/>
      <c r="E52" s="11" t="n"/>
      <c r="F52" s="11" t="n"/>
      <c r="G52" s="11" t="n"/>
      <c r="H52" s="9" t="n"/>
      <c r="I52" s="12" t="n"/>
      <c r="J52" s="1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13" t="inlineStr">
        <is>
          <t>AVANCE GLOBAL</t>
        </is>
      </c>
      <c r="C53" s="10" t="n"/>
      <c r="D53" s="11" t="n"/>
      <c r="E53" s="11" t="n"/>
      <c r="F53" s="11" t="n"/>
      <c r="G53" s="11" t="n"/>
      <c r="H53" s="9" t="n"/>
      <c r="I53" s="14">
        <f>IF(COUNT(I6,I7,I8,I9,I11,I12,I13,I14,I15,I16,I17,I19,I20,I21,I22,I23,I24,I25,I26,I28,I29,I30,I31,I32,I33,I34,I36,I37,I38,I39,I40,I41,I43,I44,I45,I46,I47,I48,I50,I51)=0,"",AVERAGE(I6,I7,I8,I9,I11,I12,I13,I14,I15,I16,I17,I19,I20,I21,I22,I23,I24,I25,I26,I28,I29,I30,I31,I32,I33,I34,I36,I37,I38,I39,I40,I41,I43,I44,I45,I46,I47,I48,I50,I51))</f>
        <v/>
      </c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5">
      <c r="B55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2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2026-10-11T23:39:22Z</dcterms:created>
  <dcterms:modified xsi:type="dcterms:W3CDTF">2026-10-11T23:39:22Z</dcterms:modified>
</cp:coreProperties>
</file>