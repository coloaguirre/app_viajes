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"/>
  </numFmts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8"/>
    </font>
    <font>
      <name val="Calibri"/>
      <b val="1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5" fontId="4" fillId="2" borderId="0" applyAlignment="1" pivotButton="0" quotePrefix="0" xfId="0">
      <alignment horizontal="center" vertical="center" textRotation="90"/>
    </xf>
    <xf numFmtId="0" fontId="5" fillId="3" borderId="1" pivotButton="0" quotePrefix="0" xfId="0"/>
    <xf numFmtId="166" fontId="5" fillId="3" borderId="1" pivotButton="0" quotePrefix="0" xfId="0"/>
    <xf numFmtId="164" fontId="5" fillId="3" borderId="1" pivotButton="0" quotePrefix="0" xfId="0"/>
    <xf numFmtId="9" fontId="5" fillId="3" borderId="1" pivotButton="0" quotePrefix="0" xfId="0"/>
    <xf numFmtId="0" fontId="6" fillId="0" borderId="1" pivotButton="0" quotePrefix="0" xfId="0"/>
    <xf numFmtId="166" fontId="6" fillId="0" borderId="1" pivotButton="0" quotePrefix="0" xfId="0"/>
    <xf numFmtId="164" fontId="6" fillId="0" borderId="1" pivotButton="0" quotePrefix="0" xfId="0"/>
    <xf numFmtId="9" fontId="6" fillId="0" borderId="1" pivotButton="0" quotePrefix="0" xfId="0"/>
    <xf numFmtId="0" fontId="5" fillId="0" borderId="1" pivotButton="0" quotePrefix="0" xfId="0"/>
    <xf numFmtId="9" fontId="5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70AD47"/>
        </patternFill>
      </fill>
    </dxf>
    <dxf>
      <fill>
        <patternFill patternType="solid">
          <fgColor rgb="005B9BD5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0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6" customWidth="1" min="8" max="8"/>
    <col width="8" customWidth="1" min="9" max="9"/>
    <col width="10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</cols>
  <sheetData>
    <row r="1">
      <c r="A1" s="1" t="inlineStr">
        <is>
          <t>Bitácora de Viaje — Cronograma</t>
        </is>
      </c>
    </row>
    <row r="2">
      <c r="A2" s="2" t="inlineStr">
        <is>
          <t>Inicio 2026-10-11 · Fin 2027-03-12 · generado 2026-10-14 desde PLAN.md</t>
        </is>
      </c>
    </row>
    <row r="4" ht="48" customHeight="1">
      <c r="A4" s="3" t="inlineStr">
        <is>
          <t>ID</t>
        </is>
      </c>
      <c r="B4" s="3" t="inlineStr">
        <is>
          <t>Fase / Ítem</t>
        </is>
      </c>
      <c r="C4" s="3" t="inlineStr">
        <is>
          <t>Est. (días)</t>
        </is>
      </c>
      <c r="D4" s="3" t="inlineStr">
        <is>
          <t>Inicio plan</t>
        </is>
      </c>
      <c r="E4" s="3" t="inlineStr">
        <is>
          <t>Fin plan</t>
        </is>
      </c>
      <c r="F4" s="3" t="inlineStr">
        <is>
          <t>Inicio real</t>
        </is>
      </c>
      <c r="G4" s="3" t="inlineStr">
        <is>
          <t>Fin real</t>
        </is>
      </c>
      <c r="H4" s="3" t="inlineStr">
        <is>
          <t>Estado</t>
        </is>
      </c>
      <c r="I4" s="3" t="inlineStr">
        <is>
          <t>Avance</t>
        </is>
      </c>
      <c r="J4" s="3" t="inlineStr">
        <is>
          <t>Desvío (días)</t>
        </is>
      </c>
      <c r="K4" s="4" t="n">
        <v>46300</v>
      </c>
      <c r="L4" s="4" t="n">
        <v>46307</v>
      </c>
      <c r="M4" s="4" t="n">
        <v>46314</v>
      </c>
      <c r="N4" s="4" t="n">
        <v>46321</v>
      </c>
      <c r="O4" s="4" t="n">
        <v>46328</v>
      </c>
      <c r="P4" s="4" t="n">
        <v>46335</v>
      </c>
      <c r="Q4" s="4" t="n">
        <v>46342</v>
      </c>
      <c r="R4" s="4" t="n">
        <v>46349</v>
      </c>
      <c r="S4" s="4" t="n">
        <v>46356</v>
      </c>
      <c r="T4" s="4" t="n">
        <v>46363</v>
      </c>
      <c r="U4" s="4" t="n">
        <v>46370</v>
      </c>
      <c r="V4" s="4" t="n">
        <v>46377</v>
      </c>
      <c r="W4" s="4" t="n">
        <v>46384</v>
      </c>
      <c r="X4" s="4" t="n">
        <v>46391</v>
      </c>
      <c r="Y4" s="4" t="n">
        <v>46398</v>
      </c>
      <c r="Z4" s="4" t="n">
        <v>46405</v>
      </c>
      <c r="AA4" s="4" t="n">
        <v>46412</v>
      </c>
      <c r="AB4" s="4" t="n">
        <v>46419</v>
      </c>
      <c r="AC4" s="4" t="n">
        <v>46426</v>
      </c>
      <c r="AD4" s="4" t="n">
        <v>46433</v>
      </c>
      <c r="AE4" s="4" t="n">
        <v>46440</v>
      </c>
      <c r="AF4" s="4" t="n">
        <v>46447</v>
      </c>
      <c r="AG4" s="4" t="n">
        <v>46454</v>
      </c>
    </row>
    <row r="5">
      <c r="A5" s="5" t="inlineStr">
        <is>
          <t>F0</t>
        </is>
      </c>
      <c r="B5" s="5" t="inlineStr">
        <is>
          <t>Fase 0 — Esqueleto y entorno</t>
        </is>
      </c>
      <c r="C5" s="6" t="n">
        <v>2.5</v>
      </c>
      <c r="D5" s="7">
        <f>IF(COUNT(D6:D9)=0,"",MIN(D6:D9))</f>
        <v/>
      </c>
      <c r="E5" s="7">
        <f>IF(COUNT(E6:E9)=0,"",MAX(E6:E9))</f>
        <v/>
      </c>
      <c r="F5" s="7">
        <f>IF(COUNT(F6:F9)=0,"",MIN(F6:F9))</f>
        <v/>
      </c>
      <c r="G5" s="7">
        <f>IF(COUNT(G6:G9)=0,"",MAX(G6:G9))</f>
        <v/>
      </c>
      <c r="H5" s="5">
        <f>IF(I5="","",IF(I5=1,"Completada",IF(I5=0,"Pendiente","En curso")))</f>
        <v/>
      </c>
      <c r="I5" s="8">
        <f>IF(COUNT(I6:I9)=0,"",AVERAGE(I6:I9))</f>
        <v/>
      </c>
      <c r="J5" s="6">
        <f>IF(AND(G5&lt;&gt;"",E5&lt;&gt;""),G5-E5,"")</f>
        <v/>
      </c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</row>
    <row r="6">
      <c r="A6" s="9" t="inlineStr">
        <is>
          <t>0.1</t>
        </is>
      </c>
      <c r="B6" s="9" t="inlineStr">
        <is>
          <t>Entorno Linux: JDK 17 (o el que pida el AGP vigente), Android SDK command-line tools, platform 36, build-to...</t>
        </is>
      </c>
      <c r="C6" s="10" t="n">
        <v>0.5</v>
      </c>
      <c r="D6" s="11" t="n">
        <v>46306</v>
      </c>
      <c r="E6" s="11" t="n">
        <v>46307</v>
      </c>
      <c r="F6" s="11" t="n"/>
      <c r="G6" s="11" t="n">
        <v>46307</v>
      </c>
      <c r="H6" s="9" t="inlineStr">
        <is>
          <t>Completado</t>
        </is>
      </c>
      <c r="I6" s="12" t="n">
        <v>1</v>
      </c>
      <c r="J6" s="10">
        <f>IF(AND(G6&lt;&gt;"",E6&lt;&gt;""),G6-E6,"")</f>
        <v/>
      </c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</row>
    <row r="7">
      <c r="A7" s="9" t="inlineStr">
        <is>
          <t>0.2</t>
        </is>
      </c>
      <c r="B7" s="9" t="inlineStr">
        <is>
          <t>Proyecto Gradle multi-módulo (`app`, `core/*`, `data`) con catálogo de versiones verificado contra Maven, H...</t>
        </is>
      </c>
      <c r="C7" s="10" t="n">
        <v>1</v>
      </c>
      <c r="D7" s="11" t="n">
        <v>46307</v>
      </c>
      <c r="E7" s="11" t="n">
        <v>46309</v>
      </c>
      <c r="F7" s="11" t="n"/>
      <c r="G7" s="11" t="n">
        <v>46307</v>
      </c>
      <c r="H7" s="9" t="inlineStr">
        <is>
          <t>Completado</t>
        </is>
      </c>
      <c r="I7" s="12" t="n">
        <v>1</v>
      </c>
      <c r="J7" s="10">
        <f>IF(AND(G7&lt;&gt;"",E7&lt;&gt;""),G7-E7,"")</f>
        <v/>
      </c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</row>
    <row r="8">
      <c r="A8" s="9" t="inlineStr">
        <is>
          <t>0.3</t>
        </is>
      </c>
      <c r="B8" s="9" t="inlineStr">
        <is>
          <t>Tema claro/oscuro, pantalla de Inicio vacía y Ajustes básicos; `strings.xml` en español</t>
        </is>
      </c>
      <c r="C8" s="10" t="n">
        <v>0.5</v>
      </c>
      <c r="D8" s="11" t="n">
        <v>46309</v>
      </c>
      <c r="E8" s="11" t="n">
        <v>46310</v>
      </c>
      <c r="F8" s="11" t="n"/>
      <c r="G8" s="11" t="n">
        <v>46307</v>
      </c>
      <c r="H8" s="9" t="inlineStr">
        <is>
          <t>Completado</t>
        </is>
      </c>
      <c r="I8" s="12" t="n">
        <v>1</v>
      </c>
      <c r="J8" s="10">
        <f>IF(AND(G8&lt;&gt;"",E8&lt;&gt;""),G8-E8,"")</f>
        <v/>
      </c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</row>
    <row r="9">
      <c r="A9" s="9" t="inlineStr">
        <is>
          <t>0.4</t>
        </is>
      </c>
      <c r="B9" s="9" t="inlineStr">
        <is>
          <t>Integración continua en GitHub Actions: lint, tests JVM, assembleDebug y pytest condicional; `tools/run-tes...</t>
        </is>
      </c>
      <c r="C9" s="10" t="n">
        <v>0.5</v>
      </c>
      <c r="D9" s="11" t="n">
        <v>46310</v>
      </c>
      <c r="E9" s="11" t="n">
        <v>46311</v>
      </c>
      <c r="F9" s="11" t="n"/>
      <c r="G9" s="11" t="n">
        <v>46307</v>
      </c>
      <c r="H9" s="9" t="inlineStr">
        <is>
          <t>Completado</t>
        </is>
      </c>
      <c r="I9" s="12" t="n">
        <v>1</v>
      </c>
      <c r="J9" s="10">
        <f>IF(AND(G9&lt;&gt;"",E9&lt;&gt;""),G9-E9,"")</f>
        <v/>
      </c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</row>
    <row r="10">
      <c r="A10" s="5" t="inlineStr">
        <is>
          <t>F1</t>
        </is>
      </c>
      <c r="B10" s="5" t="inlineStr">
        <is>
          <t>Fase 1 — Recorrido continuo (MVP 1)</t>
        </is>
      </c>
      <c r="C10" s="6" t="n">
        <v>13</v>
      </c>
      <c r="D10" s="7">
        <f>IF(COUNT(D11:D17)=0,"",MIN(D11:D17))</f>
        <v/>
      </c>
      <c r="E10" s="7">
        <f>IF(COUNT(E11:E17)=0,"",MAX(E11:E17))</f>
        <v/>
      </c>
      <c r="F10" s="7">
        <f>IF(COUNT(F11:F17)=0,"",MIN(F11:F17))</f>
        <v/>
      </c>
      <c r="G10" s="7">
        <f>IF(COUNT(G11:G17)=0,"",MAX(G11:G17))</f>
        <v/>
      </c>
      <c r="H10" s="5">
        <f>IF(I10="","",IF(I10=1,"Completada",IF(I10=0,"Pendiente","En curso")))</f>
        <v/>
      </c>
      <c r="I10" s="8">
        <f>IF(COUNT(I11:I17)=0,"",AVERAGE(I11:I17))</f>
        <v/>
      </c>
      <c r="J10" s="6">
        <f>IF(AND(G10&lt;&gt;"",E10&lt;&gt;""),G10-E10,"")</f>
        <v/>
      </c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</row>
    <row r="11">
      <c r="A11" s="9" t="inlineStr">
        <is>
          <t>1.1</t>
        </is>
      </c>
      <c r="B11" s="9" t="inlineStr">
        <is>
          <t>`core/model` y `data`: tablas de esta fase (trip, segment, segment_pause, track_point, stop) con migracione...</t>
        </is>
      </c>
      <c r="C11" s="10" t="n">
        <v>2</v>
      </c>
      <c r="D11" s="11" t="n">
        <v>46311</v>
      </c>
      <c r="E11" s="11" t="n">
        <v>46315</v>
      </c>
      <c r="F11" s="11" t="n"/>
      <c r="G11" s="11" t="n">
        <v>46307</v>
      </c>
      <c r="H11" s="9" t="inlineStr">
        <is>
          <t>Completado</t>
        </is>
      </c>
      <c r="I11" s="12" t="n">
        <v>1</v>
      </c>
      <c r="J11" s="10">
        <f>IF(AND(G11&lt;&gt;"",E11&lt;&gt;""),G11-E11,"")</f>
        <v/>
      </c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</row>
    <row r="12">
      <c r="A12" s="9" t="inlineStr">
        <is>
          <t>1.2</t>
        </is>
      </c>
      <c r="B12" s="9" t="inlineStr">
        <is>
          <t>`core/geo`: haversine, filtros (precisión, saltos imposibles, ruido en reposo), métricas (distancia, tiempo...</t>
        </is>
      </c>
      <c r="C12" s="10" t="n">
        <v>2.5</v>
      </c>
      <c r="D12" s="11" t="n">
        <v>46315</v>
      </c>
      <c r="E12" s="11" t="n">
        <v>46320</v>
      </c>
      <c r="F12" s="11" t="n"/>
      <c r="G12" s="11" t="n">
        <v>46307</v>
      </c>
      <c r="H12" s="9" t="inlineStr">
        <is>
          <t>Completado</t>
        </is>
      </c>
      <c r="I12" s="12" t="n">
        <v>1</v>
      </c>
      <c r="J12" s="10">
        <f>IF(AND(G12&lt;&gt;"",E12&lt;&gt;""),G12-E12,"")</f>
        <v/>
      </c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</row>
    <row r="13">
      <c r="A13" s="9" t="inlineStr">
        <is>
          <t>1.3</t>
        </is>
      </c>
      <c r="B13" s="9" t="inlineStr">
        <is>
          <t>`TrackingService`: servicio en primer plano tipo `location`, perfiles por medio, selector Full/Económico, e...</t>
        </is>
      </c>
      <c r="C13" s="10" t="n">
        <v>3</v>
      </c>
      <c r="D13" s="11" t="n">
        <v>46320</v>
      </c>
      <c r="E13" s="11" t="n">
        <v>46327</v>
      </c>
      <c r="F13" s="11" t="n"/>
      <c r="G13" s="11" t="n">
        <v>46307</v>
      </c>
      <c r="H13" s="9" t="inlineStr">
        <is>
          <t>Completado</t>
        </is>
      </c>
      <c r="I13" s="12" t="n">
        <v>1</v>
      </c>
      <c r="J13" s="10">
        <f>IF(AND(G13&lt;&gt;"",E13&lt;&gt;""),G13-E13,"")</f>
        <v/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</row>
    <row r="14">
      <c r="A14" s="9" t="inlineStr">
        <is>
          <t>1.4</t>
        </is>
      </c>
      <c r="B14" s="9" t="inlineStr">
        <is>
          <t>Viaje continuo: máquina de estados del viaje (ACTIVE hasta "Terminar viaje"), corte automático de etapa dia...</t>
        </is>
      </c>
      <c r="C14" s="10" t="n">
        <v>2.5</v>
      </c>
      <c r="D14" s="11" t="n">
        <v>46327</v>
      </c>
      <c r="E14" s="11" t="n">
        <v>46332</v>
      </c>
      <c r="F14" s="11" t="n"/>
      <c r="G14" s="11" t="n">
        <v>46307</v>
      </c>
      <c r="H14" s="9" t="inlineStr">
        <is>
          <t>Completado</t>
        </is>
      </c>
      <c r="I14" s="12" t="n">
        <v>1</v>
      </c>
      <c r="J14" s="10">
        <f>IF(AND(G14&lt;&gt;"",E14&lt;&gt;""),G14-E14,"")</f>
        <v/>
      </c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</row>
    <row r="15">
      <c r="A15" s="9" t="inlineStr">
        <is>
          <t>1.5</t>
        </is>
      </c>
      <c r="B15" s="9" t="inlineStr">
        <is>
          <t>Recuperación ante fallos: `START_STICKY`, etapa ACTIVE sin servicio → reanudar/cerrar, notificación tras re...</t>
        </is>
      </c>
      <c r="C15" s="10" t="n">
        <v>1.5</v>
      </c>
      <c r="D15" s="11" t="n">
        <v>46332</v>
      </c>
      <c r="E15" s="11" t="n">
        <v>46335</v>
      </c>
      <c r="F15" s="11" t="n"/>
      <c r="G15" s="11" t="n">
        <v>46307</v>
      </c>
      <c r="H15" s="9" t="inlineStr">
        <is>
          <t>Completado</t>
        </is>
      </c>
      <c r="I15" s="12" t="n">
        <v>1</v>
      </c>
      <c r="J15" s="10">
        <f>IF(AND(G15&lt;&gt;"",E15&lt;&gt;""),G15-E15,"")</f>
        <v/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</row>
    <row r="16">
      <c r="A16" s="9" t="inlineStr">
        <is>
          <t>1.6</t>
        </is>
      </c>
      <c r="B16" s="9" t="inlineStr">
        <is>
          <t>UI de la fase: asistente de nueva sesión (viaje, excursión, trekking; medio; Full/Económico), sesión activa...</t>
        </is>
      </c>
      <c r="C16" s="10" t="n">
        <v>2</v>
      </c>
      <c r="D16" s="11" t="n">
        <v>46335</v>
      </c>
      <c r="E16" s="11" t="n">
        <v>46339</v>
      </c>
      <c r="F16" s="11" t="n"/>
      <c r="G16" s="11" t="n">
        <v>46307</v>
      </c>
      <c r="H16" s="9" t="inlineStr">
        <is>
          <t>Completado</t>
        </is>
      </c>
      <c r="I16" s="12" t="n">
        <v>1</v>
      </c>
      <c r="J16" s="10">
        <f>IF(AND(G16&lt;&gt;"",E16&lt;&gt;""),G16-E16,"")</f>
        <v/>
      </c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</row>
    <row r="17">
      <c r="A17" s="9" t="inlineStr">
        <is>
          <t>1.7</t>
        </is>
      </c>
      <c r="B17" s="9" t="inlineStr">
        <is>
          <t>**(usuario)** Prueba real: 1 hora caminando con el Pixel 8 Pro en el bolsillo, pantalla apagada, una vez en...</t>
        </is>
      </c>
      <c r="C17" s="10" t="n">
        <v>0.5</v>
      </c>
      <c r="D17" s="11" t="n">
        <v>46339</v>
      </c>
      <c r="E17" s="11" t="n">
        <v>46340</v>
      </c>
      <c r="F17" s="11" t="n"/>
      <c r="G17" s="11" t="n"/>
      <c r="H17" s="9" t="inlineStr">
        <is>
          <t>Pendiente</t>
        </is>
      </c>
      <c r="I17" s="12" t="n">
        <v>0</v>
      </c>
      <c r="J17" s="10">
        <f>IF(AND(G17&lt;&gt;"",E17&lt;&gt;""),G17-E17,"")</f>
        <v/>
      </c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</row>
    <row r="18">
      <c r="A18" s="5" t="inlineStr">
        <is>
          <t>F2</t>
        </is>
      </c>
      <c r="B18" s="5" t="inlineStr">
        <is>
          <t>Fase 2 — Fotos, voz y línea de tiempo (MVP 2)</t>
        </is>
      </c>
      <c r="C18" s="6" t="n">
        <v>12.5</v>
      </c>
      <c r="D18" s="7">
        <f>IF(COUNT(D19:D27)=0,"",MIN(D19:D27))</f>
        <v/>
      </c>
      <c r="E18" s="7">
        <f>IF(COUNT(E19:E27)=0,"",MAX(E19:E27))</f>
        <v/>
      </c>
      <c r="F18" s="7">
        <f>IF(COUNT(F19:F27)=0,"",MIN(F19:F27))</f>
        <v/>
      </c>
      <c r="G18" s="7">
        <f>IF(COUNT(G19:G27)=0,"",MAX(G19:G27))</f>
        <v/>
      </c>
      <c r="H18" s="5">
        <f>IF(I18="","",IF(I18=1,"Completada",IF(I18=0,"Pendiente","En curso")))</f>
        <v/>
      </c>
      <c r="I18" s="8">
        <f>IF(COUNT(I19:I27)=0,"",AVERAGE(I19:I27))</f>
        <v/>
      </c>
      <c r="J18" s="6">
        <f>IF(AND(G18&lt;&gt;"",E18&lt;&gt;""),G18-E18,"")</f>
        <v/>
      </c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</row>
    <row r="19">
      <c r="A19" s="9" t="inlineStr">
        <is>
          <t>2.1</t>
        </is>
      </c>
      <c r="B19" s="9" t="inlineStr">
        <is>
          <t>Permisos de medios en contexto (Android 13/14+, acceso parcial, `ACCESS_MEDIA_LOCATION` con original) con p...</t>
        </is>
      </c>
      <c r="C19" s="10" t="n">
        <v>1</v>
      </c>
      <c r="D19" s="11" t="n">
        <v>46340</v>
      </c>
      <c r="E19" s="11" t="n">
        <v>46342</v>
      </c>
      <c r="F19" s="11" t="n"/>
      <c r="G19" s="11" t="n">
        <v>46307</v>
      </c>
      <c r="H19" s="9" t="inlineStr">
        <is>
          <t>Completado</t>
        </is>
      </c>
      <c r="I19" s="12" t="n">
        <v>1</v>
      </c>
      <c r="J19" s="10">
        <f>IF(AND(G19&lt;&gt;"",E19&lt;&gt;""),G19-E19,"")</f>
        <v/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</row>
    <row r="20">
      <c r="A20" s="9" t="inlineStr">
        <is>
          <t>2.2</t>
        </is>
      </c>
      <c r="B20" s="9" t="inlineStr">
        <is>
          <t>`MediaScanner` + observador + barrido por ventana de la etapa (excluyendo pendientes); lectura de hora EXIF...</t>
        </is>
      </c>
      <c r="C20" s="10" t="n">
        <v>2</v>
      </c>
      <c r="D20" s="11" t="n">
        <v>46342</v>
      </c>
      <c r="E20" s="11" t="n">
        <v>46346</v>
      </c>
      <c r="F20" s="11" t="n"/>
      <c r="G20" s="11" t="n">
        <v>46307</v>
      </c>
      <c r="H20" s="9" t="inlineStr">
        <is>
          <t>Completado</t>
        </is>
      </c>
      <c r="I20" s="12" t="n">
        <v>1</v>
      </c>
      <c r="J20" s="10">
        <f>IF(AND(G20&lt;&gt;"",E20&lt;&gt;""),G20-E20,"")</f>
        <v/>
      </c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</row>
    <row r="21">
      <c r="A21" s="9" t="inlineStr">
        <is>
          <t>2.3</t>
        </is>
      </c>
      <c r="B21" s="9" t="inlineStr">
        <is>
          <t>Vinculación en `core/geo` (§7.6) con ventana configurable por medio de transporte, desfase de reloj de cáma...</t>
        </is>
      </c>
      <c r="C21" s="10" t="n">
        <v>1.5</v>
      </c>
      <c r="D21" s="11" t="n">
        <v>46346</v>
      </c>
      <c r="E21" s="11" t="n">
        <v>46349</v>
      </c>
      <c r="F21" s="11" t="n"/>
      <c r="G21" s="11" t="n">
        <v>46307</v>
      </c>
      <c r="H21" s="9" t="inlineStr">
        <is>
          <t>Completado</t>
        </is>
      </c>
      <c r="I21" s="12" t="n">
        <v>1</v>
      </c>
      <c r="J21" s="10">
        <f>IF(AND(G21&lt;&gt;"",E21&lt;&gt;""),G21-E21,"")</f>
        <v/>
      </c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</row>
    <row r="22">
      <c r="A22" s="9" t="inlineStr">
        <is>
          <t>2.4</t>
        </is>
      </c>
      <c r="B22" s="9" t="inlineStr">
        <is>
          <t>Notas de voz: grabación AAC, `VoiceNoteActivity` desde la notificación y la pantalla bloqueada, posición al...</t>
        </is>
      </c>
      <c r="C22" s="10" t="n">
        <v>2.5</v>
      </c>
      <c r="D22" s="11" t="n">
        <v>46349</v>
      </c>
      <c r="E22" s="11" t="n">
        <v>46354</v>
      </c>
      <c r="F22" s="11" t="n"/>
      <c r="G22" s="11" t="n">
        <v>46308</v>
      </c>
      <c r="H22" s="9" t="inlineStr">
        <is>
          <t>Completado</t>
        </is>
      </c>
      <c r="I22" s="12" t="n">
        <v>1</v>
      </c>
      <c r="J22" s="10">
        <f>IF(AND(G22&lt;&gt;"",E22&lt;&gt;""),G22-E22,"")</f>
        <v/>
      </c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</row>
    <row r="23">
      <c r="A23" s="9" t="inlineStr">
        <is>
          <t>2.5</t>
        </is>
      </c>
      <c r="B23" s="9" t="inlineStr">
        <is>
          <t>Notas de texto, marcadores y destacados</t>
        </is>
      </c>
      <c r="C23" s="10" t="n">
        <v>0.5</v>
      </c>
      <c r="D23" s="11" t="n">
        <v>46354</v>
      </c>
      <c r="E23" s="11" t="n">
        <v>46355</v>
      </c>
      <c r="F23" s="11" t="n"/>
      <c r="G23" s="11" t="n">
        <v>46307</v>
      </c>
      <c r="H23" s="9" t="inlineStr">
        <is>
          <t>Completado</t>
        </is>
      </c>
      <c r="I23" s="12" t="n">
        <v>1</v>
      </c>
      <c r="J23" s="10">
        <f>IF(AND(G23&lt;&gt;"",E23&lt;&gt;""),G23-E23,"")</f>
        <v/>
      </c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</row>
    <row r="24">
      <c r="A24" s="9" t="inlineStr">
        <is>
          <t>2.6</t>
        </is>
      </c>
      <c r="B24" s="9" t="inlineStr">
        <is>
          <t>`core/timeline`: `buildTimeline` puro con agrupación de momentos, resúmenes intermedios y cambio de día</t>
        </is>
      </c>
      <c r="C24" s="10" t="n">
        <v>1.5</v>
      </c>
      <c r="D24" s="11" t="n">
        <v>46355</v>
      </c>
      <c r="E24" s="11" t="n">
        <v>46358</v>
      </c>
      <c r="F24" s="11" t="n"/>
      <c r="G24" s="11" t="n">
        <v>46307</v>
      </c>
      <c r="H24" s="9" t="inlineStr">
        <is>
          <t>Completado</t>
        </is>
      </c>
      <c r="I24" s="12" t="n">
        <v>1</v>
      </c>
      <c r="J24" s="10">
        <f>IF(AND(G24&lt;&gt;"",E24&lt;&gt;""),G24-E24,"")</f>
        <v/>
      </c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</row>
    <row r="25">
      <c r="A25" s="9" t="inlineStr">
        <is>
          <t>2.7</t>
        </is>
      </c>
      <c r="B25" s="9" t="inlineStr">
        <is>
          <t>UI: detalle de viaje con pestañas línea de tiempo / mapa / fotos sincronizadas; revisión de medios sin ubic...</t>
        </is>
      </c>
      <c r="C25" s="10" t="n">
        <v>2.5</v>
      </c>
      <c r="D25" s="11" t="n">
        <v>46358</v>
      </c>
      <c r="E25" s="11" t="n">
        <v>46363</v>
      </c>
      <c r="F25" s="11" t="n"/>
      <c r="G25" s="11" t="n">
        <v>46307</v>
      </c>
      <c r="H25" s="9" t="inlineStr">
        <is>
          <t>Completado</t>
        </is>
      </c>
      <c r="I25" s="12" t="n">
        <v>1</v>
      </c>
      <c r="J25" s="10">
        <f>IF(AND(G25&lt;&gt;"",E25&lt;&gt;""),G25-E25,"")</f>
        <v/>
      </c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</row>
    <row r="26">
      <c r="A26" s="9" t="inlineStr">
        <is>
          <t>2.8</t>
        </is>
      </c>
      <c r="B26" s="9" t="inlineStr">
        <is>
          <t>**(usuario)** Salida real con fotos y notas de voz</t>
        </is>
      </c>
      <c r="C26" s="10" t="n">
        <v>0.5</v>
      </c>
      <c r="D26" s="11" t="n">
        <v>46363</v>
      </c>
      <c r="E26" s="11" t="n">
        <v>46364</v>
      </c>
      <c r="F26" s="11" t="n"/>
      <c r="G26" s="11" t="n"/>
      <c r="H26" s="9" t="inlineStr">
        <is>
          <t>Pendiente</t>
        </is>
      </c>
      <c r="I26" s="12" t="n">
        <v>0</v>
      </c>
      <c r="J26" s="10">
        <f>IF(AND(G26&lt;&gt;"",E26&lt;&gt;""),G26-E26,"")</f>
        <v/>
      </c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</row>
    <row r="27">
      <c r="A27" s="9" t="inlineStr">
        <is>
          <t>2.9</t>
        </is>
      </c>
      <c r="B27" s="9" t="inlineStr">
        <is>
          <t>Cambiar el medio de transporte durante la sesión (agregado 2026-10-12 a pedido del usuario): botón en la se...</t>
        </is>
      </c>
      <c r="C27" s="10" t="n">
        <v>0.5</v>
      </c>
      <c r="D27" s="11" t="n">
        <v>46364</v>
      </c>
      <c r="E27" s="11" t="n">
        <v>46365</v>
      </c>
      <c r="F27" s="11" t="n"/>
      <c r="G27" s="11" t="n">
        <v>46307</v>
      </c>
      <c r="H27" s="9" t="inlineStr">
        <is>
          <t>Completado</t>
        </is>
      </c>
      <c r="I27" s="12" t="n">
        <v>1</v>
      </c>
      <c r="J27" s="10">
        <f>IF(AND(G27&lt;&gt;"",E27&lt;&gt;""),G27-E27,"")</f>
        <v/>
      </c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</row>
    <row r="28">
      <c r="A28" s="5" t="inlineStr">
        <is>
          <t>F3</t>
        </is>
      </c>
      <c r="B28" s="5" t="inlineStr">
        <is>
          <t>Fase 3 — Exportación, transcripción local y tareas largas</t>
        </is>
      </c>
      <c r="C28" s="6" t="n">
        <v>12</v>
      </c>
      <c r="D28" s="7">
        <f>IF(COUNT(D29:D35)=0,"",MIN(D29:D35))</f>
        <v/>
      </c>
      <c r="E28" s="7">
        <f>IF(COUNT(E29:E35)=0,"",MAX(E29:E35))</f>
        <v/>
      </c>
      <c r="F28" s="7">
        <f>IF(COUNT(F29:F35)=0,"",MIN(F29:F35))</f>
        <v/>
      </c>
      <c r="G28" s="7">
        <f>IF(COUNT(G29:G35)=0,"",MAX(G29:G35))</f>
        <v/>
      </c>
      <c r="H28" s="5">
        <f>IF(I28="","",IF(I28=1,"Completada",IF(I28=0,"Pendiente","En curso")))</f>
        <v/>
      </c>
      <c r="I28" s="8">
        <f>IF(COUNT(I29:I35)=0,"",AVERAGE(I29:I35))</f>
        <v/>
      </c>
      <c r="J28" s="6">
        <f>IF(AND(G28&lt;&gt;"",E28&lt;&gt;""),G28-E28,"")</f>
        <v/>
      </c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</row>
    <row r="29">
      <c r="A29" s="9" t="inlineStr">
        <is>
          <t>3.1</t>
        </is>
      </c>
      <c r="B29" s="9" t="inlineStr">
        <is>
          <t>`core/export`: `trip.json` + JSON Schema, GPX 1.1 con extensiones propias y de Garmin validado contra XSD,...</t>
        </is>
      </c>
      <c r="C29" s="10" t="n">
        <v>4</v>
      </c>
      <c r="D29" s="11" t="n">
        <v>46365</v>
      </c>
      <c r="E29" s="11" t="n">
        <v>46374</v>
      </c>
      <c r="F29" s="11" t="n"/>
      <c r="G29" s="11" t="n">
        <v>46308</v>
      </c>
      <c r="H29" s="9" t="inlineStr">
        <is>
          <t>Completado</t>
        </is>
      </c>
      <c r="I29" s="12" t="n">
        <v>1</v>
      </c>
      <c r="J29" s="10">
        <f>IF(AND(G29&lt;&gt;"",E29&lt;&gt;""),G29-E29,"")</f>
        <v/>
      </c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</row>
    <row r="30">
      <c r="A30" s="9" t="inlineStr">
        <is>
          <t>3.2</t>
        </is>
      </c>
      <c r="B30" s="9" t="inlineStr">
        <is>
          <t>Gestor de tareas largas (servicios `dataSync` / `mediaProcessing` con tiempo límite y reanudación por check...</t>
        </is>
      </c>
      <c r="C30" s="10" t="n">
        <v>2</v>
      </c>
      <c r="D30" s="11" t="n">
        <v>46374</v>
      </c>
      <c r="E30" s="11" t="n">
        <v>46378</v>
      </c>
      <c r="F30" s="11" t="n"/>
      <c r="G30" s="11" t="n">
        <v>46308</v>
      </c>
      <c r="H30" s="9" t="inlineStr">
        <is>
          <t>Completado</t>
        </is>
      </c>
      <c r="I30" s="12" t="n">
        <v>1</v>
      </c>
      <c r="J30" s="10">
        <f>IF(AND(G30&lt;&gt;"",E30&lt;&gt;""),G30-E30,"")</f>
        <v/>
      </c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</row>
    <row r="31">
      <c r="A31" s="9" t="inlineStr">
        <is>
          <t>3.3</t>
        </is>
      </c>
      <c r="B31" s="9" t="inlineStr">
        <is>
          <t>Importación de `trip.json` y de GPX externo</t>
        </is>
      </c>
      <c r="C31" s="10" t="n">
        <v>1</v>
      </c>
      <c r="D31" s="11" t="n">
        <v>46378</v>
      </c>
      <c r="E31" s="11" t="n">
        <v>46380</v>
      </c>
      <c r="F31" s="11" t="n"/>
      <c r="G31" s="11" t="n">
        <v>46308</v>
      </c>
      <c r="H31" s="9" t="inlineStr">
        <is>
          <t>Completado</t>
        </is>
      </c>
      <c r="I31" s="12" t="n">
        <v>1</v>
      </c>
      <c r="J31" s="10">
        <f>IF(AND(G31&lt;&gt;"",E31&lt;&gt;""),G31-E31,"")</f>
        <v/>
      </c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</row>
    <row r="32">
      <c r="A32" s="9" t="inlineStr">
        <is>
          <t>3.4</t>
        </is>
      </c>
      <c r="B32" s="9" t="inlineStr">
        <is>
          <t>whisper.cpp con NDK (alineado a 16 KB), descarga de modelo, VAD obligatorio, confianza por segmento, `Trans...</t>
        </is>
      </c>
      <c r="C32" s="10" t="n">
        <v>3</v>
      </c>
      <c r="D32" s="11" t="n">
        <v>46380</v>
      </c>
      <c r="E32" s="11" t="n">
        <v>46387</v>
      </c>
      <c r="F32" s="11" t="n"/>
      <c r="G32" s="11" t="n"/>
      <c r="H32" s="9" t="inlineStr">
        <is>
          <t>Pendiente</t>
        </is>
      </c>
      <c r="I32" s="12" t="n">
        <v>0</v>
      </c>
      <c r="J32" s="10">
        <f>IF(AND(G32&lt;&gt;"",E32&lt;&gt;""),G32-E32,"")</f>
        <v/>
      </c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</row>
    <row r="33">
      <c r="A33" s="9" t="inlineStr">
        <is>
          <t>3.5</t>
        </is>
      </c>
      <c r="B33" s="9" t="inlineStr">
        <is>
          <t>Respaldo: base excluida del Auto Backup; `trip.json` automático al cerrar cada etapa</t>
        </is>
      </c>
      <c r="C33" s="10" t="n">
        <v>0.5</v>
      </c>
      <c r="D33" s="11" t="n">
        <v>46387</v>
      </c>
      <c r="E33" s="11" t="n">
        <v>46388</v>
      </c>
      <c r="F33" s="11" t="n"/>
      <c r="G33" s="11" t="n">
        <v>46308</v>
      </c>
      <c r="H33" s="9" t="inlineStr">
        <is>
          <t>Completado</t>
        </is>
      </c>
      <c r="I33" s="12" t="n">
        <v>1</v>
      </c>
      <c r="J33" s="10">
        <f>IF(AND(G33&lt;&gt;"",E33&lt;&gt;""),G33-E33,"")</f>
        <v/>
      </c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</row>
    <row r="34">
      <c r="A34" s="9" t="inlineStr">
        <is>
          <t>3.6</t>
        </is>
      </c>
      <c r="B34" s="9" t="inlineStr">
        <is>
          <t>Nombre de ruta y detección de senderos (Nominatim, Overpass) con política de resiliencia (User-Agent, caché...</t>
        </is>
      </c>
      <c r="C34" s="10" t="n">
        <v>1</v>
      </c>
      <c r="D34" s="11" t="n">
        <v>46388</v>
      </c>
      <c r="E34" s="11" t="n">
        <v>46390</v>
      </c>
      <c r="F34" s="11" t="n"/>
      <c r="G34" s="11" t="n">
        <v>46308</v>
      </c>
      <c r="H34" s="9" t="inlineStr">
        <is>
          <t>Completado</t>
        </is>
      </c>
      <c r="I34" s="12" t="n">
        <v>1</v>
      </c>
      <c r="J34" s="10">
        <f>IF(AND(G34&lt;&gt;"",E34&lt;&gt;""),G34-E34,"")</f>
        <v/>
      </c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</row>
    <row r="35">
      <c r="A35" s="9" t="inlineStr">
        <is>
          <t>3.7</t>
        </is>
      </c>
      <c r="B35" s="9" t="inlineStr">
        <is>
          <t>**(usuario)** Importar el KML en Google My Maps y abrir el HTML en la PC</t>
        </is>
      </c>
      <c r="C35" s="10" t="n">
        <v>0.5</v>
      </c>
      <c r="D35" s="11" t="n">
        <v>46390</v>
      </c>
      <c r="E35" s="11" t="n">
        <v>46391</v>
      </c>
      <c r="F35" s="11" t="n"/>
      <c r="G35" s="11" t="n"/>
      <c r="H35" s="9" t="inlineStr">
        <is>
          <t>Pendiente</t>
        </is>
      </c>
      <c r="I35" s="12" t="n">
        <v>0</v>
      </c>
      <c r="J35" s="10">
        <f>IF(AND(G35&lt;&gt;"",E35&lt;&gt;""),G35-E35,"")</f>
        <v/>
      </c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</row>
    <row r="36">
      <c r="A36" s="5" t="inlineStr">
        <is>
          <t>F4</t>
        </is>
      </c>
      <c r="B36" s="5" t="inlineStr">
        <is>
          <t>Fase 4 — Enriquecimiento, video de escritorio y minivideo</t>
        </is>
      </c>
      <c r="C36" s="6" t="n">
        <v>13</v>
      </c>
      <c r="D36" s="7">
        <f>IF(COUNT(D37:D42)=0,"",MIN(D37:D42))</f>
        <v/>
      </c>
      <c r="E36" s="7">
        <f>IF(COUNT(E37:E42)=0,"",MAX(E37:E42))</f>
        <v/>
      </c>
      <c r="F36" s="7">
        <f>IF(COUNT(F37:F42)=0,"",MIN(F37:F42))</f>
        <v/>
      </c>
      <c r="G36" s="7">
        <f>IF(COUNT(G37:G42)=0,"",MAX(G37:G42))</f>
        <v/>
      </c>
      <c r="H36" s="5">
        <f>IF(I36="","",IF(I36=1,"Completada",IF(I36=0,"Pendiente","En curso")))</f>
        <v/>
      </c>
      <c r="I36" s="8">
        <f>IF(COUNT(I37:I42)=0,"",AVERAGE(I37:I42))</f>
        <v/>
      </c>
      <c r="J36" s="6">
        <f>IF(AND(G36&lt;&gt;"",E36&lt;&gt;""),G36-E36,"")</f>
        <v/>
      </c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</row>
    <row r="37">
      <c r="A37" s="9" t="inlineStr">
        <is>
          <t>4.1</t>
        </is>
      </c>
      <c r="B37" s="9" t="inlineStr">
        <is>
          <t>Clientes Nominatim, Wikipedia (detrás de abstracción por la transición de su API), Wikidata y Overpass; cac...</t>
        </is>
      </c>
      <c r="C37" s="10" t="n">
        <v>2.5</v>
      </c>
      <c r="D37" s="11" t="n">
        <v>46391</v>
      </c>
      <c r="E37" s="11" t="n">
        <v>46396</v>
      </c>
      <c r="F37" s="11" t="n"/>
      <c r="G37" s="11" t="n">
        <v>46308</v>
      </c>
      <c r="H37" s="9" t="inlineStr">
        <is>
          <t>Completado</t>
        </is>
      </c>
      <c r="I37" s="12" t="n">
        <v>1</v>
      </c>
      <c r="J37" s="10">
        <f>IF(AND(G37&lt;&gt;"",E37&lt;&gt;""),G37-E37,"")</f>
        <v/>
      </c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</row>
    <row r="38">
      <c r="A38" s="9" t="inlineStr">
        <is>
          <t>4.2</t>
        </is>
      </c>
      <c r="B38" s="9" t="inlineStr">
        <is>
          <t>Pantalla de lugares con aprobación/descarte y atribuciones</t>
        </is>
      </c>
      <c r="C38" s="10" t="n">
        <v>1</v>
      </c>
      <c r="D38" s="11" t="n">
        <v>46396</v>
      </c>
      <c r="E38" s="11" t="n">
        <v>46398</v>
      </c>
      <c r="F38" s="11" t="n"/>
      <c r="G38" s="11" t="n">
        <v>46308</v>
      </c>
      <c r="H38" s="9" t="inlineStr">
        <is>
          <t>Completado</t>
        </is>
      </c>
      <c r="I38" s="12" t="n">
        <v>1</v>
      </c>
      <c r="J38" s="10">
        <f>IF(AND(G38&lt;&gt;"",E38&lt;&gt;""),G38-E38,"")</f>
        <v/>
      </c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</row>
    <row r="39">
      <c r="A39" s="9" t="inlineStr">
        <is>
          <t>4.3</t>
        </is>
      </c>
      <c r="B39" s="9" t="inlineStr">
        <is>
          <t>Reescritura opcional con modelo de lenguaje (clave del usuario en DataStore cifrado, restringida al texto f...</t>
        </is>
      </c>
      <c r="C39" s="10" t="n">
        <v>0.5</v>
      </c>
      <c r="D39" s="11" t="n">
        <v>46398</v>
      </c>
      <c r="E39" s="11" t="n">
        <v>46399</v>
      </c>
      <c r="F39" s="11" t="n"/>
      <c r="G39" s="11" t="n">
        <v>46308</v>
      </c>
      <c r="H39" s="9" t="inlineStr">
        <is>
          <t>Completado</t>
        </is>
      </c>
      <c r="I39" s="12" t="n">
        <v>1</v>
      </c>
      <c r="J39" s="10">
        <f>IF(AND(G39&lt;&gt;"",E39&lt;&gt;""),G39-E39,"")</f>
        <v/>
      </c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</row>
    <row r="40">
      <c r="A40" s="9" t="inlineStr">
        <is>
          <t>4.4</t>
        </is>
      </c>
      <c r="B40" s="9" t="inlineStr">
        <is>
          <t>`core/videoplan`: planificador puro con preset "rápido 1 min" y duraciones 1/3/5/10 min, selección por favo...</t>
        </is>
      </c>
      <c r="C40" s="10" t="n">
        <v>1.5</v>
      </c>
      <c r="D40" s="11" t="n">
        <v>46399</v>
      </c>
      <c r="E40" s="11" t="n">
        <v>46402</v>
      </c>
      <c r="F40" s="11" t="n"/>
      <c r="G40" s="11" t="n">
        <v>46308</v>
      </c>
      <c r="H40" s="9" t="inlineStr">
        <is>
          <t>Completado</t>
        </is>
      </c>
      <c r="I40" s="12" t="n">
        <v>1</v>
      </c>
      <c r="J40" s="10">
        <f>IF(AND(G40&lt;&gt;"",E40&lt;&gt;""),G40-E40,"")</f>
        <v/>
      </c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</row>
    <row r="41">
      <c r="A41" s="9" t="inlineStr">
        <is>
          <t>4.5</t>
        </is>
      </c>
      <c r="B41" s="9" t="inlineStr">
        <is>
          <t>`desktop-renderer` (uv): CLI `plan` y `render`, mapa animado con teselas de MapTiler, Ken Burns, clips, tar...</t>
        </is>
      </c>
      <c r="C41" s="10" t="n">
        <v>5</v>
      </c>
      <c r="D41" s="11" t="n">
        <v>46402</v>
      </c>
      <c r="E41" s="11" t="n">
        <v>46413</v>
      </c>
      <c r="F41" s="11" t="n"/>
      <c r="G41" s="11" t="n">
        <v>46308</v>
      </c>
      <c r="H41" s="9" t="inlineStr">
        <is>
          <t>Completado</t>
        </is>
      </c>
      <c r="I41" s="12" t="n">
        <v>1</v>
      </c>
      <c r="J41" s="10">
        <f>IF(AND(G41&lt;&gt;"",E41&lt;&gt;""),G41-E41,"")</f>
        <v/>
      </c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</row>
    <row r="42">
      <c r="A42" s="9" t="inlineStr">
        <is>
          <t>4.6</t>
        </is>
      </c>
      <c r="B42" s="9" t="inlineStr">
        <is>
          <t>Minivideo de 1 min en el teléfono: motor Media3 mínimo (título, fotos con Ken Burns, mapa estático por etap...</t>
        </is>
      </c>
      <c r="C42" s="10" t="n">
        <v>2.5</v>
      </c>
      <c r="D42" s="11" t="n">
        <v>46413</v>
      </c>
      <c r="E42" s="11" t="n">
        <v>46418</v>
      </c>
      <c r="F42" s="11" t="n"/>
      <c r="G42" s="11" t="n">
        <v>46308</v>
      </c>
      <c r="H42" s="9" t="inlineStr">
        <is>
          <t>Completado</t>
        </is>
      </c>
      <c r="I42" s="12" t="n">
        <v>1</v>
      </c>
      <c r="J42" s="10">
        <f>IF(AND(G42&lt;&gt;"",E42&lt;&gt;""),G42-E42,"")</f>
        <v/>
      </c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</row>
    <row r="43">
      <c r="A43" s="5" t="inlineStr">
        <is>
          <t>F5</t>
        </is>
      </c>
      <c r="B43" s="5" t="inlineStr">
        <is>
          <t>Fase 5 — Video completo en el dispositivo y extras</t>
        </is>
      </c>
      <c r="C43" s="6" t="n">
        <v>10</v>
      </c>
      <c r="D43" s="7">
        <f>IF(COUNT(D44:D49)=0,"",MIN(D44:D49))</f>
        <v/>
      </c>
      <c r="E43" s="7">
        <f>IF(COUNT(E44:E49)=0,"",MAX(E44:E49))</f>
        <v/>
      </c>
      <c r="F43" s="7">
        <f>IF(COUNT(F44:F49)=0,"",MIN(F44:F49))</f>
        <v/>
      </c>
      <c r="G43" s="7">
        <f>IF(COUNT(G44:G49)=0,"",MAX(G44:G49))</f>
        <v/>
      </c>
      <c r="H43" s="5">
        <f>IF(I43="","",IF(I43=1,"Completada",IF(I43=0,"Pendiente","En curso")))</f>
        <v/>
      </c>
      <c r="I43" s="8">
        <f>IF(COUNT(I44:I49)=0,"",AVERAGE(I44:I49))</f>
        <v/>
      </c>
      <c r="J43" s="6">
        <f>IF(AND(G43&lt;&gt;"",E43&lt;&gt;""),G43-E43,"")</f>
        <v/>
      </c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</row>
    <row r="44">
      <c r="A44" s="9" t="inlineStr">
        <is>
          <t>5.1</t>
        </is>
      </c>
      <c r="B44" s="9" t="inlineStr">
        <is>
          <t>Motor Media3 completo (mapa animado, clips, vista previa del plan editable) bajo el gestor de tareas largas</t>
        </is>
      </c>
      <c r="C44" s="10" t="n">
        <v>4</v>
      </c>
      <c r="D44" s="11" t="n">
        <v>46418</v>
      </c>
      <c r="E44" s="11" t="n">
        <v>46427</v>
      </c>
      <c r="F44" s="11" t="n"/>
      <c r="G44" s="11" t="n">
        <v>46308</v>
      </c>
      <c r="H44" s="9" t="inlineStr">
        <is>
          <t>Completado</t>
        </is>
      </c>
      <c r="I44" s="12" t="n">
        <v>1</v>
      </c>
      <c r="J44" s="10">
        <f>IF(AND(G44&lt;&gt;"",E44&lt;&gt;""),G44-E44,"")</f>
        <v/>
      </c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</row>
    <row r="45">
      <c r="A45" s="9" t="inlineStr">
        <is>
          <t>5.2</t>
        </is>
      </c>
      <c r="B45" s="9" t="inlineStr">
        <is>
          <t>Cámara integrada (CameraX) con EXIF GPS y nota sobre la foto</t>
        </is>
      </c>
      <c r="C45" s="10" t="n">
        <v>1.5</v>
      </c>
      <c r="D45" s="11" t="n">
        <v>46427</v>
      </c>
      <c r="E45" s="11" t="n">
        <v>46430</v>
      </c>
      <c r="F45" s="11" t="n"/>
      <c r="G45" s="11" t="n">
        <v>46308</v>
      </c>
      <c r="H45" s="9" t="inlineStr">
        <is>
          <t>Completado</t>
        </is>
      </c>
      <c r="I45" s="12" t="n">
        <v>1</v>
      </c>
      <c r="J45" s="10">
        <f>IF(AND(G45&lt;&gt;"",E45&lt;&gt;""),G45-E45,"")</f>
        <v/>
      </c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</row>
    <row r="46">
      <c r="A46" s="9" t="inlineStr">
        <is>
          <t>5.3</t>
        </is>
      </c>
      <c r="B46" s="9" t="inlineStr">
        <is>
          <t>Widget, mosaico de Configuración rápida y accesos directos</t>
        </is>
      </c>
      <c r="C46" s="10" t="n">
        <v>1.5</v>
      </c>
      <c r="D46" s="11" t="n">
        <v>46430</v>
      </c>
      <c r="E46" s="11" t="n">
        <v>46433</v>
      </c>
      <c r="F46" s="11" t="n"/>
      <c r="G46" s="11" t="n">
        <v>46308</v>
      </c>
      <c r="H46" s="9" t="inlineStr">
        <is>
          <t>Completado</t>
        </is>
      </c>
      <c r="I46" s="12" t="n">
        <v>1</v>
      </c>
      <c r="J46" s="10">
        <f>IF(AND(G46&lt;&gt;"",E46&lt;&gt;""),G46-E46,"")</f>
        <v/>
      </c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</row>
    <row r="47">
      <c r="A47" s="9" t="inlineStr">
        <is>
          <t>5.4</t>
        </is>
      </c>
      <c r="B47" s="9" t="inlineStr">
        <is>
          <t>Mapas offline con MapLibre (descarga de región)</t>
        </is>
      </c>
      <c r="C47" s="10" t="n">
        <v>1.5</v>
      </c>
      <c r="D47" s="11" t="n">
        <v>46433</v>
      </c>
      <c r="E47" s="11" t="n">
        <v>46436</v>
      </c>
      <c r="F47" s="11" t="n"/>
      <c r="G47" s="11" t="n">
        <v>46308</v>
      </c>
      <c r="H47" s="9" t="inlineStr">
        <is>
          <t>Completado</t>
        </is>
      </c>
      <c r="I47" s="12" t="n">
        <v>1</v>
      </c>
      <c r="J47" s="10">
        <f>IF(AND(G47&lt;&gt;"",E47&lt;&gt;""),G47-E47,"")</f>
        <v/>
      </c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</row>
    <row r="48">
      <c r="A48" s="9" t="inlineStr">
        <is>
          <t>5.5</t>
        </is>
      </c>
      <c r="B48" s="9" t="inlineStr">
        <is>
          <t>Zonas de privacidad aplicadas al exportar</t>
        </is>
      </c>
      <c r="C48" s="10" t="n">
        <v>1</v>
      </c>
      <c r="D48" s="11" t="n">
        <v>46436</v>
      </c>
      <c r="E48" s="11" t="n">
        <v>46438</v>
      </c>
      <c r="F48" s="11" t="n"/>
      <c r="G48" s="11" t="n">
        <v>46308</v>
      </c>
      <c r="H48" s="9" t="inlineStr">
        <is>
          <t>Completado</t>
        </is>
      </c>
      <c r="I48" s="12" t="n">
        <v>1</v>
      </c>
      <c r="J48" s="10">
        <f>IF(AND(G48&lt;&gt;"",E48&lt;&gt;""),G48-E48,"")</f>
        <v/>
      </c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</row>
    <row r="49">
      <c r="A49" s="9" t="inlineStr">
        <is>
          <t>5.6</t>
        </is>
      </c>
      <c r="B49" s="9" t="inlineStr">
        <is>
          <t>Google Fotos (Picker e importación / subida a álbum propio). DESEABLE A FUTURO (2026-10-11, usuario): requi...</t>
        </is>
      </c>
      <c r="C49" s="10" t="n">
        <v>0</v>
      </c>
      <c r="D49" s="11" t="n"/>
      <c r="E49" s="11" t="n"/>
      <c r="F49" s="11" t="n"/>
      <c r="G49" s="11" t="n"/>
      <c r="H49" s="9" t="inlineStr">
        <is>
          <t>Deseable a futuro</t>
        </is>
      </c>
      <c r="I49" s="12" t="n"/>
      <c r="J49" s="10">
        <f>IF(AND(G49&lt;&gt;"",E49&lt;&gt;""),G49-E49,"")</f>
        <v/>
      </c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</row>
    <row r="50">
      <c r="A50" s="5" t="inlineStr">
        <is>
          <t>F6</t>
        </is>
      </c>
      <c r="B50" s="5" t="inlineStr">
        <is>
          <t>Fase 6 — Pulido y publicación</t>
        </is>
      </c>
      <c r="C50" s="6" t="n">
        <v>5</v>
      </c>
      <c r="D50" s="7">
        <f>IF(COUNT(D51:D52)=0,"",MIN(D51:D52))</f>
        <v/>
      </c>
      <c r="E50" s="7">
        <f>IF(COUNT(E51:E52)=0,"",MAX(E51:E52))</f>
        <v/>
      </c>
      <c r="F50" s="7">
        <f>IF(COUNT(F51:F52)=0,"",MIN(F51:F52))</f>
        <v/>
      </c>
      <c r="G50" s="7">
        <f>IF(COUNT(G51:G52)=0,"",MAX(G51:G52))</f>
        <v/>
      </c>
      <c r="H50" s="5" t="inlineStr">
        <is>
          <t>Postpuesto</t>
        </is>
      </c>
      <c r="I50" s="8">
        <f>IF(COUNT(I51:I52)=0,"",AVERAGE(I51:I52))</f>
        <v/>
      </c>
      <c r="J50" s="6">
        <f>IF(AND(G50&lt;&gt;"",E50&lt;&gt;""),G50-E50,"")</f>
        <v/>
      </c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</row>
    <row r="51">
      <c r="A51" s="9" t="inlineStr">
        <is>
          <t>6.1</t>
        </is>
      </c>
      <c r="B51" s="9" t="inlineStr">
        <is>
          <t>Accesibilidad, traducciones, iconografía y onboarding final</t>
        </is>
      </c>
      <c r="C51" s="10" t="n">
        <v>2</v>
      </c>
      <c r="D51" s="11" t="n"/>
      <c r="E51" s="11" t="n"/>
      <c r="F51" s="11" t="n"/>
      <c r="G51" s="11" t="n"/>
      <c r="H51" s="9" t="inlineStr">
        <is>
          <t>Postpuesto</t>
        </is>
      </c>
      <c r="I51" s="12" t="n"/>
      <c r="J51" s="10">
        <f>IF(AND(G51&lt;&gt;"",E51&lt;&gt;""),G51-E51,"")</f>
        <v/>
      </c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</row>
    <row r="52">
      <c r="A52" s="9" t="inlineStr">
        <is>
          <t>6.2</t>
        </is>
      </c>
      <c r="B52" s="9" t="inlineStr">
        <is>
          <t>Declaraciones de Play Console, seguridad de los datos y política de privacidad; migrar el mapa del video a...</t>
        </is>
      </c>
      <c r="C52" s="10" t="n">
        <v>3</v>
      </c>
      <c r="D52" s="11" t="n"/>
      <c r="E52" s="11" t="n"/>
      <c r="F52" s="11" t="n"/>
      <c r="G52" s="11" t="n"/>
      <c r="H52" s="9" t="inlineStr">
        <is>
          <t>Postpuesto</t>
        </is>
      </c>
      <c r="I52" s="12" t="n"/>
      <c r="J52" s="10">
        <f>IF(AND(G52&lt;&gt;"",E52&lt;&gt;""),G52-E52,"")</f>
        <v/>
      </c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</row>
    <row r="53">
      <c r="A53" s="9" t="n"/>
      <c r="B53" s="9" t="n"/>
      <c r="C53" s="10" t="n"/>
      <c r="D53" s="11" t="n"/>
      <c r="E53" s="11" t="n"/>
      <c r="F53" s="11" t="n"/>
      <c r="G53" s="11" t="n"/>
      <c r="H53" s="9" t="n"/>
      <c r="I53" s="12" t="n"/>
      <c r="J53" s="10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</row>
    <row r="54">
      <c r="A54" s="9" t="n"/>
      <c r="B54" s="13" t="inlineStr">
        <is>
          <t>AVANCE GLOBAL</t>
        </is>
      </c>
      <c r="C54" s="10" t="n"/>
      <c r="D54" s="11" t="n"/>
      <c r="E54" s="11" t="n"/>
      <c r="F54" s="11" t="n"/>
      <c r="G54" s="11" t="n"/>
      <c r="H54" s="9" t="n"/>
      <c r="I54" s="14">
        <f>IF(COUNT(I6,I7,I8,I9,I11,I12,I13,I14,I15,I16,I17,I19,I20,I21,I22,I23,I24,I25,I26,I27,I29,I30,I31,I32,I33,I34,I35,I37,I38,I39,I40,I41,I42,I44,I45,I46,I47,I48,I49,I51,I52)=0,"",AVERAGE(I6,I7,I8,I9,I11,I12,I13,I14,I15,I16,I17,I19,I20,I21,I22,I23,I24,I25,I26,I27,I29,I30,I31,I32,I33,I34,I35,I37,I38,I39,I40,I41,I42,I44,I45,I46,I47,I48,I49,I51,I52))</f>
        <v/>
      </c>
      <c r="J54" s="10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</row>
    <row r="56">
      <c r="B56" s="2" t="inlineStr">
        <is>
          <t>Leyenda: azul = planificado · verde = real · amarillo = semana actual. Estados Descartado / Postpuesto / Deseable a futuro no cuentan para el avance.</t>
        </is>
      </c>
    </row>
  </sheetData>
  <conditionalFormatting sqref="K5:AG53">
    <cfRule type="expression" priority="1" dxfId="0">
      <formula>AND($G5&lt;&gt;"",K$4&lt;=$G5,K$4+6&gt;=IF($F5&lt;&gt;"",$F5,$D5))</formula>
    </cfRule>
    <cfRule type="expression" priority="2" dxfId="1">
      <formula>AND($D5&lt;&gt;"",$E5&lt;&gt;"",K$4&lt;=$E5,K$4+6&gt;=$D5)</formula>
    </cfRule>
  </conditionalFormatting>
  <conditionalFormatting sqref="K4:AG4">
    <cfRule type="expression" priority="3" dxfId="2">
      <formula>AND(K$4&lt;=TODAY(),K$4+6&gt;=TODAY())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2026-10-14T19:40:29Z</dcterms:created>
  <dcterms:modified xsi:type="dcterms:W3CDTF">2026-10-14T19:40:29Z</dcterms:modified>
</cp:coreProperties>
</file>