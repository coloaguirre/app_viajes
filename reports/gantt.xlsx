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2026-10-13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>
        <v>46307</v>
      </c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>
        <v>46307</v>
      </c>
      <c r="H11" s="9" t="inlineStr">
        <is>
          <t>Completado</t>
        </is>
      </c>
      <c r="I11" s="12" t="n">
        <v>1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46320</v>
      </c>
      <c r="F12" s="11" t="n"/>
      <c r="G12" s="11" t="n">
        <v>46307</v>
      </c>
      <c r="H12" s="9" t="inlineStr">
        <is>
          <t>Completado</t>
        </is>
      </c>
      <c r="I12" s="12" t="n">
        <v>1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46320</v>
      </c>
      <c r="E13" s="11" t="n">
        <v>46327</v>
      </c>
      <c r="F13" s="11" t="n"/>
      <c r="G13" s="11" t="n">
        <v>46307</v>
      </c>
      <c r="H13" s="9" t="inlineStr">
        <is>
          <t>Completado</t>
        </is>
      </c>
      <c r="I13" s="12" t="n">
        <v>1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46327</v>
      </c>
      <c r="E14" s="11" t="n">
        <v>46332</v>
      </c>
      <c r="F14" s="11" t="n"/>
      <c r="G14" s="11" t="n">
        <v>46307</v>
      </c>
      <c r="H14" s="9" t="inlineStr">
        <is>
          <t>Completado</t>
        </is>
      </c>
      <c r="I14" s="12" t="n">
        <v>1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46332</v>
      </c>
      <c r="E15" s="11" t="n">
        <v>46335</v>
      </c>
      <c r="F15" s="11" t="n"/>
      <c r="G15" s="11" t="n">
        <v>46307</v>
      </c>
      <c r="H15" s="9" t="inlineStr">
        <is>
          <t>Completado</t>
        </is>
      </c>
      <c r="I15" s="12" t="n">
        <v>1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46335</v>
      </c>
      <c r="E16" s="11" t="n">
        <v>46339</v>
      </c>
      <c r="F16" s="11" t="n"/>
      <c r="G16" s="11" t="n">
        <v>46307</v>
      </c>
      <c r="H16" s="9" t="inlineStr">
        <is>
          <t>Completado</t>
        </is>
      </c>
      <c r="I16" s="12" t="n">
        <v>1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46339</v>
      </c>
      <c r="E17" s="11" t="n">
        <v>46340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12.5</v>
      </c>
      <c r="D18" s="7">
        <f>IF(COUNT(D19:D27)=0,"",MIN(D19:D27))</f>
        <v/>
      </c>
      <c r="E18" s="7">
        <f>IF(COUNT(E19:E27)=0,"",MAX(E19:E27))</f>
        <v/>
      </c>
      <c r="F18" s="7">
        <f>IF(COUNT(F19:F27)=0,"",MIN(F19:F27))</f>
        <v/>
      </c>
      <c r="G18" s="7">
        <f>IF(COUNT(G19:G27)=0,"",MAX(G19:G27))</f>
        <v/>
      </c>
      <c r="H18" s="5">
        <f>IF(I18="","",IF(I18=1,"Completada",IF(I18=0,"Pendiente","En curso")))</f>
        <v/>
      </c>
      <c r="I18" s="8">
        <f>IF(COUNT(I19:I27)=0,"",AVERAGE(I19:I27))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46340</v>
      </c>
      <c r="E19" s="11" t="n">
        <v>46342</v>
      </c>
      <c r="F19" s="11" t="n"/>
      <c r="G19" s="11" t="n">
        <v>46307</v>
      </c>
      <c r="H19" s="9" t="inlineStr">
        <is>
          <t>Completado</t>
        </is>
      </c>
      <c r="I19" s="12" t="n">
        <v>1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por ventana de la etapa (excluyendo pendientes); lectura de hora EXIF...</t>
        </is>
      </c>
      <c r="C20" s="10" t="n">
        <v>2</v>
      </c>
      <c r="D20" s="11" t="n">
        <v>46342</v>
      </c>
      <c r="E20" s="11" t="n">
        <v>46346</v>
      </c>
      <c r="F20" s="11" t="n"/>
      <c r="G20" s="11" t="n">
        <v>46307</v>
      </c>
      <c r="H20" s="9" t="inlineStr">
        <is>
          <t>Completado</t>
        </is>
      </c>
      <c r="I20" s="12" t="n">
        <v>1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46346</v>
      </c>
      <c r="E21" s="11" t="n">
        <v>46349</v>
      </c>
      <c r="F21" s="11" t="n"/>
      <c r="G21" s="11" t="n">
        <v>46307</v>
      </c>
      <c r="H21" s="9" t="inlineStr">
        <is>
          <t>Completado</t>
        </is>
      </c>
      <c r="I21" s="12" t="n">
        <v>1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46349</v>
      </c>
      <c r="E22" s="11" t="n">
        <v>46354</v>
      </c>
      <c r="F22" s="11" t="n"/>
      <c r="G22" s="11" t="n">
        <v>46308</v>
      </c>
      <c r="H22" s="9" t="inlineStr">
        <is>
          <t>Completado</t>
        </is>
      </c>
      <c r="I22" s="12" t="n">
        <v>1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46354</v>
      </c>
      <c r="E23" s="11" t="n">
        <v>46355</v>
      </c>
      <c r="F23" s="11" t="n"/>
      <c r="G23" s="11" t="n">
        <v>46307</v>
      </c>
      <c r="H23" s="9" t="inlineStr">
        <is>
          <t>Completado</t>
        </is>
      </c>
      <c r="I23" s="12" t="n">
        <v>1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46355</v>
      </c>
      <c r="E24" s="11" t="n">
        <v>46358</v>
      </c>
      <c r="F24" s="11" t="n"/>
      <c r="G24" s="11" t="n">
        <v>46307</v>
      </c>
      <c r="H24" s="9" t="inlineStr">
        <is>
          <t>Completado</t>
        </is>
      </c>
      <c r="I24" s="12" t="n">
        <v>1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46358</v>
      </c>
      <c r="E25" s="11" t="n">
        <v>46363</v>
      </c>
      <c r="F25" s="11" t="n"/>
      <c r="G25" s="11" t="n">
        <v>46307</v>
      </c>
      <c r="H25" s="9" t="inlineStr">
        <is>
          <t>Completado</t>
        </is>
      </c>
      <c r="I25" s="12" t="n">
        <v>1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46363</v>
      </c>
      <c r="E26" s="11" t="n">
        <v>46364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9" t="inlineStr">
        <is>
          <t>2.9</t>
        </is>
      </c>
      <c r="B27" s="9" t="inlineStr">
        <is>
          <t>Cambiar el medio de transporte durante la sesión (agregado 2026-10-12 a pedido del usuario): botón en la se...</t>
        </is>
      </c>
      <c r="C27" s="10" t="n">
        <v>0.5</v>
      </c>
      <c r="D27" s="11" t="n">
        <v>46364</v>
      </c>
      <c r="E27" s="11" t="n">
        <v>46365</v>
      </c>
      <c r="F27" s="11" t="n"/>
      <c r="G27" s="11" t="n">
        <v>46307</v>
      </c>
      <c r="H27" s="9" t="inlineStr">
        <is>
          <t>Completado</t>
        </is>
      </c>
      <c r="I27" s="12" t="n">
        <v>1</v>
      </c>
      <c r="J27" s="10">
        <f>IF(AND(G27&lt;&gt;"",E27&lt;&gt;""),G27-E27,"")</f>
        <v/>
      </c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s="5" t="inlineStr">
        <is>
          <t>F3</t>
        </is>
      </c>
      <c r="B28" s="5" t="inlineStr">
        <is>
          <t>Fase 3 — Exportación, transcripción local y tareas largas</t>
        </is>
      </c>
      <c r="C28" s="6" t="n">
        <v>12</v>
      </c>
      <c r="D28" s="7">
        <f>IF(COUNT(D29:D35)=0,"",MIN(D29:D35))</f>
        <v/>
      </c>
      <c r="E28" s="7">
        <f>IF(COUNT(E29:E35)=0,"",MAX(E29:E35))</f>
        <v/>
      </c>
      <c r="F28" s="7">
        <f>IF(COUNT(F29:F35)=0,"",MIN(F29:F35))</f>
        <v/>
      </c>
      <c r="G28" s="7">
        <f>IF(COUNT(G29:G35)=0,"",MAX(G29:G35))</f>
        <v/>
      </c>
      <c r="H28" s="5">
        <f>IF(I28="","",IF(I28=1,"Completada",IF(I28=0,"Pendiente","En curso")))</f>
        <v/>
      </c>
      <c r="I28" s="8">
        <f>IF(COUNT(I29:I35)=0,"",AVERAGE(I29:I35))</f>
        <v/>
      </c>
      <c r="J28" s="6">
        <f>IF(AND(G28&lt;&gt;"",E28&lt;&gt;""),G28-E28,"")</f>
        <v/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9" t="inlineStr">
        <is>
          <t>3.1</t>
        </is>
      </c>
      <c r="B29" s="9" t="inlineStr">
        <is>
          <t>`core/export`: `trip.json` + JSON Schema, GPX 1.1 con extensiones propias y de Garmin validado contra XSD,...</t>
        </is>
      </c>
      <c r="C29" s="10" t="n">
        <v>4</v>
      </c>
      <c r="D29" s="11" t="n">
        <v>46365</v>
      </c>
      <c r="E29" s="11" t="n">
        <v>46374</v>
      </c>
      <c r="F29" s="11" t="n"/>
      <c r="G29" s="11" t="n">
        <v>46308</v>
      </c>
      <c r="H29" s="9" t="inlineStr">
        <is>
          <t>Completado</t>
        </is>
      </c>
      <c r="I29" s="12" t="n">
        <v>1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3.2</t>
        </is>
      </c>
      <c r="B30" s="9" t="inlineStr">
        <is>
          <t>Gestor de tareas largas (servicios `dataSync` / `mediaProcessing` con tiempo límite y reanudación por check...</t>
        </is>
      </c>
      <c r="C30" s="10" t="n">
        <v>2</v>
      </c>
      <c r="D30" s="11" t="n">
        <v>46374</v>
      </c>
      <c r="E30" s="11" t="n">
        <v>46378</v>
      </c>
      <c r="F30" s="11" t="n"/>
      <c r="G30" s="11" t="n">
        <v>46308</v>
      </c>
      <c r="H30" s="9" t="inlineStr">
        <is>
          <t>Completado</t>
        </is>
      </c>
      <c r="I30" s="12" t="n">
        <v>1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3.3</t>
        </is>
      </c>
      <c r="B31" s="9" t="inlineStr">
        <is>
          <t>Importación de `trip.json` y de GPX externo</t>
        </is>
      </c>
      <c r="C31" s="10" t="n">
        <v>1</v>
      </c>
      <c r="D31" s="11" t="n">
        <v>46378</v>
      </c>
      <c r="E31" s="11" t="n">
        <v>46380</v>
      </c>
      <c r="F31" s="11" t="n"/>
      <c r="G31" s="11" t="n">
        <v>46308</v>
      </c>
      <c r="H31" s="9" t="inlineStr">
        <is>
          <t>Completado</t>
        </is>
      </c>
      <c r="I31" s="12" t="n">
        <v>1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3.4</t>
        </is>
      </c>
      <c r="B32" s="9" t="inlineStr">
        <is>
          <t>whisper.cpp con NDK (alineado a 16 KB), descarga de modelo, VAD obligatorio, confianza por segmento, `Trans...</t>
        </is>
      </c>
      <c r="C32" s="10" t="n">
        <v>3</v>
      </c>
      <c r="D32" s="11" t="n">
        <v>46380</v>
      </c>
      <c r="E32" s="11" t="n">
        <v>46387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3.5</t>
        </is>
      </c>
      <c r="B33" s="9" t="inlineStr">
        <is>
          <t>Respaldo: base excluida del Auto Backup; `trip.json` automático al cerrar cada etapa</t>
        </is>
      </c>
      <c r="C33" s="10" t="n">
        <v>0.5</v>
      </c>
      <c r="D33" s="11" t="n">
        <v>46387</v>
      </c>
      <c r="E33" s="11" t="n">
        <v>46388</v>
      </c>
      <c r="F33" s="11" t="n"/>
      <c r="G33" s="11" t="n">
        <v>46308</v>
      </c>
      <c r="H33" s="9" t="inlineStr">
        <is>
          <t>Completado</t>
        </is>
      </c>
      <c r="I33" s="12" t="n">
        <v>1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3.6</t>
        </is>
      </c>
      <c r="B34" s="9" t="inlineStr">
        <is>
          <t>Nombre de ruta y detección de senderos (Nominatim, Overpass) con política de resiliencia (User-Agent, caché...</t>
        </is>
      </c>
      <c r="C34" s="10" t="n">
        <v>1</v>
      </c>
      <c r="D34" s="11" t="n">
        <v>46388</v>
      </c>
      <c r="E34" s="11" t="n">
        <v>46390</v>
      </c>
      <c r="F34" s="11" t="n"/>
      <c r="G34" s="11" t="n">
        <v>46308</v>
      </c>
      <c r="H34" s="9" t="inlineStr">
        <is>
          <t>Completado</t>
        </is>
      </c>
      <c r="I34" s="12" t="n">
        <v>1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9" t="inlineStr">
        <is>
          <t>3.7</t>
        </is>
      </c>
      <c r="B35" s="9" t="inlineStr">
        <is>
          <t>**(usuario)** Importar el KML en Google My Maps y abrir el HTML en la PC</t>
        </is>
      </c>
      <c r="C35" s="10" t="n">
        <v>0.5</v>
      </c>
      <c r="D35" s="11" t="n">
        <v>46390</v>
      </c>
      <c r="E35" s="11" t="n">
        <v>46391</v>
      </c>
      <c r="F35" s="11" t="n"/>
      <c r="G35" s="11" t="n"/>
      <c r="H35" s="9" t="inlineStr">
        <is>
          <t>Pendiente</t>
        </is>
      </c>
      <c r="I35" s="12" t="n">
        <v>0</v>
      </c>
      <c r="J35" s="10">
        <f>IF(AND(G35&lt;&gt;"",E35&lt;&gt;""),G35-E35,"")</f>
        <v/>
      </c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</row>
    <row r="36">
      <c r="A36" s="5" t="inlineStr">
        <is>
          <t>F4</t>
        </is>
      </c>
      <c r="B36" s="5" t="inlineStr">
        <is>
          <t>Fase 4 — Enriquecimiento, video de escritorio y minivideo</t>
        </is>
      </c>
      <c r="C36" s="6" t="n">
        <v>13</v>
      </c>
      <c r="D36" s="7">
        <f>IF(COUNT(D37:D42)=0,"",MIN(D37:D42))</f>
        <v/>
      </c>
      <c r="E36" s="7">
        <f>IF(COUNT(E37:E42)=0,"",MAX(E37:E42))</f>
        <v/>
      </c>
      <c r="F36" s="7">
        <f>IF(COUNT(F37:F42)=0,"",MIN(F37:F42))</f>
        <v/>
      </c>
      <c r="G36" s="7">
        <f>IF(COUNT(G37:G42)=0,"",MAX(G37:G42))</f>
        <v/>
      </c>
      <c r="H36" s="5">
        <f>IF(I36="","",IF(I36=1,"Completada",IF(I36=0,"Pendiente","En curso")))</f>
        <v/>
      </c>
      <c r="I36" s="8">
        <f>IF(COUNT(I37:I42)=0,"",AVERAGE(I37:I42))</f>
        <v/>
      </c>
      <c r="J36" s="6">
        <f>IF(AND(G36&lt;&gt;"",E36&lt;&gt;""),G36-E36,"")</f>
        <v/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</row>
    <row r="37">
      <c r="A37" s="9" t="inlineStr">
        <is>
          <t>4.1</t>
        </is>
      </c>
      <c r="B37" s="9" t="inlineStr">
        <is>
          <t>Clientes Nominatim, Wikipedia (detrás de abstracción por la transición de su API), Wikidata y Overpass; cac...</t>
        </is>
      </c>
      <c r="C37" s="10" t="n">
        <v>2.5</v>
      </c>
      <c r="D37" s="11" t="n">
        <v>46391</v>
      </c>
      <c r="E37" s="11" t="n">
        <v>46396</v>
      </c>
      <c r="F37" s="11" t="n"/>
      <c r="G37" s="11" t="n">
        <v>46308</v>
      </c>
      <c r="H37" s="9" t="inlineStr">
        <is>
          <t>Completado</t>
        </is>
      </c>
      <c r="I37" s="12" t="n">
        <v>1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4.2</t>
        </is>
      </c>
      <c r="B38" s="9" t="inlineStr">
        <is>
          <t>Pantalla de lugares con aprobación/descarte y atribuciones</t>
        </is>
      </c>
      <c r="C38" s="10" t="n">
        <v>1</v>
      </c>
      <c r="D38" s="11" t="n">
        <v>46396</v>
      </c>
      <c r="E38" s="11" t="n">
        <v>46398</v>
      </c>
      <c r="F38" s="11" t="n"/>
      <c r="G38" s="11" t="n">
        <v>46308</v>
      </c>
      <c r="H38" s="9" t="inlineStr">
        <is>
          <t>Completado</t>
        </is>
      </c>
      <c r="I38" s="12" t="n">
        <v>1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4.3</t>
        </is>
      </c>
      <c r="B39" s="9" t="inlineStr">
        <is>
          <t>Reescritura opcional con modelo de lenguaje (clave del usuario en DataStore cifrado, restringida al texto f...</t>
        </is>
      </c>
      <c r="C39" s="10" t="n">
        <v>0.5</v>
      </c>
      <c r="D39" s="11" t="n">
        <v>46398</v>
      </c>
      <c r="E39" s="11" t="n">
        <v>46399</v>
      </c>
      <c r="F39" s="11" t="n"/>
      <c r="G39" s="11" t="n">
        <v>46308</v>
      </c>
      <c r="H39" s="9" t="inlineStr">
        <is>
          <t>Completado</t>
        </is>
      </c>
      <c r="I39" s="12" t="n">
        <v>1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4.4</t>
        </is>
      </c>
      <c r="B40" s="9" t="inlineStr">
        <is>
          <t>`core/videoplan`: planificador puro con preset "rápido 1 min" y duraciones 1/3/5/10 min, selección por favo...</t>
        </is>
      </c>
      <c r="C40" s="10" t="n">
        <v>1.5</v>
      </c>
      <c r="D40" s="11" t="n">
        <v>46399</v>
      </c>
      <c r="E40" s="11" t="n">
        <v>46402</v>
      </c>
      <c r="F40" s="11" t="n"/>
      <c r="G40" s="11" t="n">
        <v>46308</v>
      </c>
      <c r="H40" s="9" t="inlineStr">
        <is>
          <t>Completado</t>
        </is>
      </c>
      <c r="I40" s="12" t="n">
        <v>1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4.5</t>
        </is>
      </c>
      <c r="B41" s="9" t="inlineStr">
        <is>
          <t>`desktop-renderer` (uv): CLI `plan` y `render`, mapa animado con teselas de MapTiler, Ken Burns, clips, tar...</t>
        </is>
      </c>
      <c r="C41" s="10" t="n">
        <v>5</v>
      </c>
      <c r="D41" s="11" t="n">
        <v>46402</v>
      </c>
      <c r="E41" s="11" t="n">
        <v>46413</v>
      </c>
      <c r="F41" s="11" t="n"/>
      <c r="G41" s="11" t="n">
        <v>46308</v>
      </c>
      <c r="H41" s="9" t="inlineStr">
        <is>
          <t>Completado</t>
        </is>
      </c>
      <c r="I41" s="12" t="n">
        <v>1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9" t="inlineStr">
        <is>
          <t>4.6</t>
        </is>
      </c>
      <c r="B42" s="9" t="inlineStr">
        <is>
          <t>Minivideo de 1 min en el teléfono: motor Media3 mínimo (título, fotos con Ken Burns, mapa estático por etap...</t>
        </is>
      </c>
      <c r="C42" s="10" t="n">
        <v>2.5</v>
      </c>
      <c r="D42" s="11" t="n">
        <v>46413</v>
      </c>
      <c r="E42" s="11" t="n">
        <v>46418</v>
      </c>
      <c r="F42" s="11" t="n"/>
      <c r="G42" s="11" t="n">
        <v>46308</v>
      </c>
      <c r="H42" s="9" t="inlineStr">
        <is>
          <t>Completado</t>
        </is>
      </c>
      <c r="I42" s="12" t="n">
        <v>1</v>
      </c>
      <c r="J42" s="10">
        <f>IF(AND(G42&lt;&gt;"",E42&lt;&gt;""),G42-E42,"")</f>
        <v/>
      </c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</row>
    <row r="43">
      <c r="A43" s="5" t="inlineStr">
        <is>
          <t>F5</t>
        </is>
      </c>
      <c r="B43" s="5" t="inlineStr">
        <is>
          <t>Fase 5 — Video completo en el dispositivo y extras</t>
        </is>
      </c>
      <c r="C43" s="6" t="n">
        <v>10</v>
      </c>
      <c r="D43" s="7">
        <f>IF(COUNT(D44:D49)=0,"",MIN(D44:D49))</f>
        <v/>
      </c>
      <c r="E43" s="7">
        <f>IF(COUNT(E44:E49)=0,"",MAX(E44:E49))</f>
        <v/>
      </c>
      <c r="F43" s="7">
        <f>IF(COUNT(F44:F49)=0,"",MIN(F44:F49))</f>
        <v/>
      </c>
      <c r="G43" s="7">
        <f>IF(COUNT(G44:G49)=0,"",MAX(G44:G49))</f>
        <v/>
      </c>
      <c r="H43" s="5">
        <f>IF(I43="","",IF(I43=1,"Completada",IF(I43=0,"Pendiente","En curso")))</f>
        <v/>
      </c>
      <c r="I43" s="8">
        <f>IF(COUNT(I44:I49)=0,"",AVERAGE(I44:I49))</f>
        <v/>
      </c>
      <c r="J43" s="6">
        <f>IF(AND(G43&lt;&gt;"",E43&lt;&gt;""),G43-E43,"")</f>
        <v/>
      </c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</row>
    <row r="44">
      <c r="A44" s="9" t="inlineStr">
        <is>
          <t>5.1</t>
        </is>
      </c>
      <c r="B44" s="9" t="inlineStr">
        <is>
          <t>Motor Media3 completo (mapa animado, clips, vista previa del plan editable) bajo el gestor de tareas largas</t>
        </is>
      </c>
      <c r="C44" s="10" t="n">
        <v>4</v>
      </c>
      <c r="D44" s="11" t="n">
        <v>46418</v>
      </c>
      <c r="E44" s="11" t="n">
        <v>46427</v>
      </c>
      <c r="F44" s="11" t="n"/>
      <c r="G44" s="11" t="n"/>
      <c r="H44" s="9" t="inlineStr">
        <is>
          <t>Pendiente</t>
        </is>
      </c>
      <c r="I44" s="12" t="n">
        <v>0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5.2</t>
        </is>
      </c>
      <c r="B45" s="9" t="inlineStr">
        <is>
          <t>Cámara integrada (CameraX) con EXIF GPS y nota sobre la foto</t>
        </is>
      </c>
      <c r="C45" s="10" t="n">
        <v>1.5</v>
      </c>
      <c r="D45" s="11" t="n">
        <v>46427</v>
      </c>
      <c r="E45" s="11" t="n">
        <v>46430</v>
      </c>
      <c r="F45" s="11" t="n"/>
      <c r="G45" s="11" t="n"/>
      <c r="H45" s="9" t="inlineStr">
        <is>
          <t>Pendiente</t>
        </is>
      </c>
      <c r="I45" s="12" t="n">
        <v>0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5.3</t>
        </is>
      </c>
      <c r="B46" s="9" t="inlineStr">
        <is>
          <t>Widget, mosaico de Configuración rápida y accesos directos</t>
        </is>
      </c>
      <c r="C46" s="10" t="n">
        <v>1.5</v>
      </c>
      <c r="D46" s="11" t="n">
        <v>46430</v>
      </c>
      <c r="E46" s="11" t="n">
        <v>46433</v>
      </c>
      <c r="F46" s="11" t="n"/>
      <c r="G46" s="11" t="n"/>
      <c r="H46" s="9" t="inlineStr">
        <is>
          <t>Pendiente</t>
        </is>
      </c>
      <c r="I46" s="12" t="n">
        <v>0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5.4</t>
        </is>
      </c>
      <c r="B47" s="9" t="inlineStr">
        <is>
          <t>Mapas offline con MapLibre (descarga de región)</t>
        </is>
      </c>
      <c r="C47" s="10" t="n">
        <v>1.5</v>
      </c>
      <c r="D47" s="11" t="n">
        <v>46433</v>
      </c>
      <c r="E47" s="11" t="n">
        <v>46436</v>
      </c>
      <c r="F47" s="11" t="n"/>
      <c r="G47" s="11" t="n"/>
      <c r="H47" s="9" t="inlineStr">
        <is>
          <t>Pendiente</t>
        </is>
      </c>
      <c r="I47" s="12" t="n">
        <v>0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5.5</t>
        </is>
      </c>
      <c r="B48" s="9" t="inlineStr">
        <is>
          <t>Zonas de privacidad aplicadas al exportar</t>
        </is>
      </c>
      <c r="C48" s="10" t="n">
        <v>1</v>
      </c>
      <c r="D48" s="11" t="n">
        <v>46436</v>
      </c>
      <c r="E48" s="11" t="n">
        <v>46438</v>
      </c>
      <c r="F48" s="11" t="n"/>
      <c r="G48" s="11" t="n"/>
      <c r="H48" s="9" t="inlineStr">
        <is>
          <t>Pendiente</t>
        </is>
      </c>
      <c r="I48" s="12" t="n">
        <v>0</v>
      </c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9" t="inlineStr">
        <is>
          <t>5.6</t>
        </is>
      </c>
      <c r="B49" s="9" t="inlineStr">
        <is>
          <t>Google Fotos (Picker e importación / subida a álbum propio). DESEABLE A FUTURO (2026-10-11, usuario): requi...</t>
        </is>
      </c>
      <c r="C49" s="10" t="n">
        <v>0</v>
      </c>
      <c r="D49" s="11" t="n"/>
      <c r="E49" s="11" t="n"/>
      <c r="F49" s="11" t="n"/>
      <c r="G49" s="11" t="n"/>
      <c r="H49" s="9" t="inlineStr">
        <is>
          <t>Deseable a futuro</t>
        </is>
      </c>
      <c r="I49" s="12" t="n"/>
      <c r="J49" s="10">
        <f>IF(AND(G49&lt;&gt;"",E49&lt;&gt;""),G49-E49,"")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</row>
    <row r="50">
      <c r="A50" s="5" t="inlineStr">
        <is>
          <t>F6</t>
        </is>
      </c>
      <c r="B50" s="5" t="inlineStr">
        <is>
          <t>Fase 6 — Pulido y publicación</t>
        </is>
      </c>
      <c r="C50" s="6" t="n">
        <v>5</v>
      </c>
      <c r="D50" s="7">
        <f>IF(COUNT(D51:D52)=0,"",MIN(D51:D52))</f>
        <v/>
      </c>
      <c r="E50" s="7">
        <f>IF(COUNT(E51:E52)=0,"",MAX(E51:E52))</f>
        <v/>
      </c>
      <c r="F50" s="7">
        <f>IF(COUNT(F51:F52)=0,"",MIN(F51:F52))</f>
        <v/>
      </c>
      <c r="G50" s="7">
        <f>IF(COUNT(G51:G52)=0,"",MAX(G51:G52))</f>
        <v/>
      </c>
      <c r="H50" s="5" t="inlineStr">
        <is>
          <t>Postpuesto</t>
        </is>
      </c>
      <c r="I50" s="8">
        <f>IF(COUNT(I51:I52)=0,"",AVERAGE(I51:I52))</f>
        <v/>
      </c>
      <c r="J50" s="6">
        <f>IF(AND(G50&lt;&gt;"",E50&lt;&gt;""),G50-E50,"")</f>
        <v/>
      </c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</row>
    <row r="51">
      <c r="A51" s="9" t="inlineStr">
        <is>
          <t>6.1</t>
        </is>
      </c>
      <c r="B51" s="9" t="inlineStr">
        <is>
          <t>Accesibilidad, traducciones, iconografía y onboarding final</t>
        </is>
      </c>
      <c r="C51" s="10" t="n">
        <v>2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inlineStr">
        <is>
          <t>6.2</t>
        </is>
      </c>
      <c r="B52" s="9" t="inlineStr">
        <is>
          <t>Declaraciones de Play Console, seguridad de los datos y política de privacidad; migrar el mapa del video a...</t>
        </is>
      </c>
      <c r="C52" s="10" t="n">
        <v>3</v>
      </c>
      <c r="D52" s="11" t="n"/>
      <c r="E52" s="11" t="n"/>
      <c r="F52" s="11" t="n"/>
      <c r="G52" s="11" t="n"/>
      <c r="H52" s="9" t="inlineStr">
        <is>
          <t>Postpuesto</t>
        </is>
      </c>
      <c r="I52" s="12" t="n"/>
      <c r="J52" s="10">
        <f>IF(AND(G52&lt;&gt;"",E52&lt;&gt;""),G52-E52,"")</f>
        <v/>
      </c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9" t="n"/>
      <c r="C53" s="10" t="n"/>
      <c r="D53" s="11" t="n"/>
      <c r="E53" s="11" t="n"/>
      <c r="F53" s="11" t="n"/>
      <c r="G53" s="11" t="n"/>
      <c r="H53" s="9" t="n"/>
      <c r="I53" s="12" t="n"/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4">
      <c r="A54" s="9" t="n"/>
      <c r="B54" s="13" t="inlineStr">
        <is>
          <t>AVANCE GLOBAL</t>
        </is>
      </c>
      <c r="C54" s="10" t="n"/>
      <c r="D54" s="11" t="n"/>
      <c r="E54" s="11" t="n"/>
      <c r="F54" s="11" t="n"/>
      <c r="G54" s="11" t="n"/>
      <c r="H54" s="9" t="n"/>
      <c r="I54" s="14">
        <f>IF(COUNT(I6,I7,I8,I9,I11,I12,I13,I14,I15,I16,I17,I19,I20,I21,I22,I23,I24,I25,I26,I27,I29,I30,I31,I32,I33,I34,I35,I37,I38,I39,I40,I41,I42,I44,I45,I46,I47,I48,I49,I51,I52)=0,"",AVERAGE(I6,I7,I8,I9,I11,I12,I13,I14,I15,I16,I17,I19,I20,I21,I22,I23,I24,I25,I26,I27,I29,I30,I31,I32,I33,I34,I35,I37,I38,I39,I40,I41,I42,I44,I45,I46,I47,I48,I49,I51,I52))</f>
        <v/>
      </c>
      <c r="J54" s="1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</row>
    <row r="56">
      <c r="B56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3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2026-10-13T07:52:53Z</dcterms:created>
  <dcterms:modified xsi:type="dcterms:W3CDTF">2026-10-13T07:52:53Z</dcterms:modified>
</cp:coreProperties>
</file>